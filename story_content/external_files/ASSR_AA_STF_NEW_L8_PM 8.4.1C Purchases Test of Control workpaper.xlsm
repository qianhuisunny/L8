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8431" codeName="{7A2D7E96-6E34-419A-AE5F-296B3A7E7977}"/>
  <workbookPr codeName="TOCWorkbook" defaultThemeVersion="124226"/>
  <mc:AlternateContent xmlns:mc="http://schemas.openxmlformats.org/markup-compatibility/2006">
    <mc:Choice Requires="x15">
      <x15ac:absPath xmlns:x15ac="http://schemas.microsoft.com/office/spreadsheetml/2010/11/ac" url="Y:\1 - Audit Academy\1a - New Staff\FY19 - WIP - Maintenance\FY19 WIP\5 - ILP Artifacts\L8\Activity 4\C - Accounts Payable\"/>
    </mc:Choice>
  </mc:AlternateContent>
  <bookViews>
    <workbookView xWindow="0" yWindow="0" windowWidth="28800" windowHeight="13430" tabRatio="703" firstSheet="1" activeTab="1"/>
  </bookViews>
  <sheets>
    <sheet name="Translation" sheetId="8" state="veryHidden" r:id="rId1"/>
    <sheet name="Tests of control" sheetId="4" r:id="rId2"/>
  </sheets>
  <definedNames>
    <definedName name="AHome" localSheetId="1">'Tests of control'!$A$1</definedName>
    <definedName name="Compensation_Value" localSheetId="1">'Tests of control'!$H$245</definedName>
    <definedName name="Compensation_Yes" localSheetId="1">'Tests of control'!$246:$246</definedName>
    <definedName name="ConcExceptions_Value" localSheetId="1">'Tests of control'!$H$241</definedName>
    <definedName name="ConclusionBased_No" localSheetId="1">'Tests of control'!$133:$133</definedName>
    <definedName name="ConclusionBased_Value" localSheetId="1">'Tests of control'!$H$132</definedName>
    <definedName name="Configurable_Controls" localSheetId="1">'Tests of control'!$43:$72</definedName>
    <definedName name="Configurable_Value" localSheetId="1">'Tests of control'!$F$39</definedName>
    <definedName name="Control_Exec" localSheetId="1">'Tests of control'!$G$20</definedName>
    <definedName name="ControlDescription" localSheetId="1">'Tests of control'!$D$11</definedName>
    <definedName name="ControlFrequency" localSheetId="1">'Tests of control'!$J$13</definedName>
    <definedName name="ControlName" localSheetId="1">'Tests of control'!$G$1</definedName>
    <definedName name="ControlType" localSheetId="1">'Tests of control'!$D$13</definedName>
    <definedName name="CT_App1" localSheetId="1">'Tests of control'!$15:$16</definedName>
    <definedName name="CT_App2" localSheetId="1">'Tests of control'!$36:$42</definedName>
    <definedName name="CT_App3" localSheetId="1">'Tests of control'!$154:$164</definedName>
    <definedName name="CT_Application" localSheetId="1">'Tests of control'!$169:$170</definedName>
    <definedName name="CT_ITDM">'Tests of control'!$167:$168</definedName>
    <definedName name="CT_NotApplication" localSheetId="1">'Tests of control'!$165:$166</definedName>
    <definedName name="CurrentLanguage" localSheetId="1">'Tests of control'!$R$1</definedName>
    <definedName name="CurrentLanguageDD" localSheetId="1">'Tests of control'!$C$5</definedName>
    <definedName name="dd_ControlType">Translation!$B$244:$B$247</definedName>
    <definedName name="dd_Effective">Translation!$B$226:$B$227</definedName>
    <definedName name="dd_Environ">Translation!$B$257:$B$258</definedName>
    <definedName name="dd_Frequency">Translation!$B$248:$B$254</definedName>
    <definedName name="dd_GAAS">Translation!$B$239:$B$240</definedName>
    <definedName name="dd_InterimYearEnd">Translation!$B$255:$B$256</definedName>
    <definedName name="dd_Language">Translation!$B$228:$B$238</definedName>
    <definedName name="dd_NatureEngage">Translation!$B$241:$B$243</definedName>
    <definedName name="dd_YesNo">Translation!$B$224:$B$225</definedName>
    <definedName name="DesignAttrib" localSheetId="1">'Tests of control'!$C$108</definedName>
    <definedName name="DesignAttribEY" localSheetId="1">'Tests of control'!$C$177</definedName>
    <definedName name="EntityName" localSheetId="1">'Tests of control'!$C$2</definedName>
    <definedName name="Evidence_No" localSheetId="1">'Tests of control'!$245:$245</definedName>
    <definedName name="Evidence_Value" localSheetId="1">'Tests of control'!$H$242</definedName>
    <definedName name="Evidence_Yes" localSheetId="1">'Tests of control'!$243:$244</definedName>
    <definedName name="Exceptions3" localSheetId="1">'Tests of control'!$242:$242</definedName>
    <definedName name="Exceptions4" localSheetId="1">'Tests of control'!$247:$247</definedName>
    <definedName name="FinalTOC" localSheetId="1">'Tests of control'!$G$150</definedName>
    <definedName name="ForIntegratedOnly" localSheetId="1">'Tests of control'!$140:$147</definedName>
    <definedName name="HigherRisk" localSheetId="1">'Tests of control'!$F$85</definedName>
    <definedName name="IAFunction" localSheetId="1">'Tests of control'!$K$138</definedName>
    <definedName name="IncludeSOCDNo" localSheetId="1">'Tests of control'!$136:$136</definedName>
    <definedName name="IncludeSOCDValue" localSheetId="1">'Tests of control'!$F$135</definedName>
    <definedName name="Independant_Strategy" localSheetId="1">'Tests of control'!$140:$217</definedName>
    <definedName name="IndependentStrategy" localSheetId="1">'Tests of control'!$L$76</definedName>
    <definedName name="InquiryPerf" localSheetId="1">'Tests of control'!$G$143</definedName>
    <definedName name="Inspect" localSheetId="1">'Tests of control'!$G$145</definedName>
    <definedName name="InspectAuth" localSheetId="1">'Tests of control'!$F$157</definedName>
    <definedName name="InspectConfig" localSheetId="1">'Tests of control'!$F$158</definedName>
    <definedName name="Instance_Value" localSheetId="1">'Tests of control'!$K$25</definedName>
    <definedName name="Interim2" localSheetId="1">'Tests of control'!$H$89</definedName>
    <definedName name="InterimWPRef" localSheetId="1">'Tests of control'!$C$1</definedName>
    <definedName name="InternalAuditNo" localSheetId="1">'Tests of control'!$100:$100</definedName>
    <definedName name="InternalAuditValue" localSheetId="1">'Tests of control'!$K$99</definedName>
    <definedName name="MultiNo" localSheetId="1">'Tests of control'!$15:$16</definedName>
    <definedName name="MultiTestPerf" localSheetId="1">'Tests of control'!$27:$35</definedName>
    <definedName name="MultiYes" localSheetId="1">'Tests of control'!$23:$35</definedName>
    <definedName name="NatureOfEngagement" localSheetId="1">'Tests of control'!$G$3</definedName>
    <definedName name="Not_AppControl" localSheetId="1">'Tests of control'!$140:$153</definedName>
    <definedName name="Observe" localSheetId="1">'Tests of control'!$G$144</definedName>
    <definedName name="OperatingEffective" localSheetId="1">'Tests of control'!$H$131</definedName>
    <definedName name="OperatingEffectiveTOC" localSheetId="1">'Tests of control'!$G$249</definedName>
    <definedName name="OperEffecFinal" localSheetId="1">'Tests of control'!$S$2</definedName>
    <definedName name="Override_Blank" localSheetId="1">'Tests of control'!$238:$238</definedName>
    <definedName name="Override_Main" localSheetId="1">'Tests of control'!$218:$221</definedName>
    <definedName name="Override_NoExpand" localSheetId="1">'Tests of control'!#REF!</definedName>
    <definedName name="Override_Value" localSheetId="1">'Tests of control'!$F$221</definedName>
    <definedName name="Override_Yes" localSheetId="1">'Tests of control'!$222:$222</definedName>
    <definedName name="OverrideSection" localSheetId="1">'Tests of control'!$223:$237</definedName>
    <definedName name="PeriodDate" localSheetId="1">'Tests of control'!$C$4</definedName>
    <definedName name="_xlnm.Print_Area" localSheetId="1">'Tests of control'!$A$1:$P$261</definedName>
    <definedName name="PriorLanguage" localSheetId="1">'Tests of control'!$R$2</definedName>
    <definedName name="RefDocument" localSheetId="1">'Tests of control'!$21:$21</definedName>
    <definedName name="RelatedApps" localSheetId="1">'Tests of control'!$J$14</definedName>
    <definedName name="reperform" localSheetId="1">'Tests of control'!$G$146</definedName>
    <definedName name="Reperformance_Review" localSheetId="1">'Tests of control'!$80:$139</definedName>
    <definedName name="Reperformance_Testing" localSheetId="1">'Tests of control'!$102:$127</definedName>
    <definedName name="Reperformance_Value" localSheetId="1">'Tests of control'!$L$77</definedName>
    <definedName name="ReperformControl" localSheetId="1">'Tests of control'!$F$159</definedName>
    <definedName name="ReperformFirstDesignRow" localSheetId="1">'Tests of control'!$A$108</definedName>
    <definedName name="ReperformFirstRow" localSheetId="1">'Tests of control'!$A$116</definedName>
    <definedName name="ReperformLastDesignRow" localSheetId="1">'Tests of control'!$A$113</definedName>
    <definedName name="ReperformLastRow" localSheetId="1">'Tests of control'!$A$122</definedName>
    <definedName name="ReperformStartCol" localSheetId="1">'Tests of control'!$G$115</definedName>
    <definedName name="ReviewControl" localSheetId="1">'Tests of control'!$D$14</definedName>
    <definedName name="ReviewT_Value" localSheetId="1">'Tests of control'!$L$78</definedName>
    <definedName name="SCOTName" localSheetId="1">'Tests of control'!$G$2</definedName>
    <definedName name="Start" localSheetId="1">'Tests of control'!$B$108</definedName>
    <definedName name="TestingEnviron" localSheetId="1">'Tests of control'!$K$161</definedName>
    <definedName name="TestingFirstDesignRow" localSheetId="1">'Tests of control'!$A$177</definedName>
    <definedName name="TestingFirstRow" localSheetId="1">'Tests of control'!$A$185</definedName>
    <definedName name="TestingLastDesignRow" localSheetId="1">'Tests of control'!$A$182</definedName>
    <definedName name="TestingLastRow" localSheetId="1">'Tests of control'!$A$211</definedName>
    <definedName name="TestingStartCol" localSheetId="1">'Tests of control'!$G$184</definedName>
    <definedName name="ThisRef" localSheetId="1">'Tests of control'!$G$21</definedName>
    <definedName name="US_GAAS" localSheetId="1">'Tests of control'!$82:$86</definedName>
    <definedName name="USGAASValue" localSheetId="1">'Tests of control'!$C$3</definedName>
    <definedName name="WPRefFromSCOT" localSheetId="1">'Tests of control'!$G$10</definedName>
  </definedNames>
  <calcPr calcId="171027"/>
</workbook>
</file>

<file path=xl/calcChain.xml><?xml version="1.0" encoding="utf-8"?>
<calcChain xmlns="http://schemas.openxmlformats.org/spreadsheetml/2006/main">
  <c r="M104" i="4" l="1"/>
  <c r="B124" i="4"/>
  <c r="C145" i="4"/>
  <c r="B242" i="4"/>
  <c r="B57" i="4"/>
  <c r="C144" i="4"/>
  <c r="G161" i="4"/>
  <c r="B161" i="4"/>
  <c r="B93" i="4"/>
  <c r="B244" i="4"/>
  <c r="C146" i="4"/>
  <c r="A169" i="4"/>
  <c r="C177" i="4"/>
  <c r="B211" i="4"/>
  <c r="G177" i="4"/>
  <c r="B157" i="4"/>
  <c r="B13" i="4"/>
  <c r="C168" i="4"/>
  <c r="C185" i="4"/>
  <c r="B106" i="4"/>
  <c r="A175" i="4"/>
  <c r="H183" i="4"/>
  <c r="A155" i="4"/>
  <c r="C166" i="4"/>
  <c r="B225" i="4"/>
  <c r="B11" i="4"/>
  <c r="F66" i="4"/>
  <c r="E4" i="4"/>
  <c r="E93" i="4"/>
  <c r="B151" i="4"/>
  <c r="B245" i="4"/>
  <c r="A166" i="4"/>
  <c r="E95" i="4"/>
  <c r="F232" i="4"/>
  <c r="A170" i="4"/>
  <c r="A18" i="4"/>
  <c r="A37" i="4"/>
  <c r="E3" i="4"/>
  <c r="E96" i="4"/>
  <c r="B232" i="4"/>
  <c r="C37" i="4"/>
  <c r="C100" i="4"/>
  <c r="B133" i="4"/>
  <c r="A3" i="4"/>
  <c r="A140" i="4"/>
  <c r="I104" i="4"/>
  <c r="E1" i="4"/>
  <c r="H114" i="4"/>
  <c r="F59" i="4"/>
  <c r="A219" i="4"/>
  <c r="E89" i="4"/>
  <c r="A1" i="4"/>
  <c r="B237" i="4"/>
  <c r="B43" i="4"/>
  <c r="B27" i="4"/>
  <c r="F50" i="4"/>
  <c r="B21" i="4"/>
  <c r="G4" i="4"/>
  <c r="C159" i="4"/>
  <c r="B185" i="4"/>
  <c r="C158" i="4"/>
  <c r="A128" i="4"/>
  <c r="E91" i="4"/>
  <c r="A74" i="4"/>
  <c r="M232" i="4"/>
  <c r="H50" i="4"/>
  <c r="B20" i="4"/>
  <c r="A239" i="4"/>
  <c r="B34" i="4"/>
  <c r="A83" i="4"/>
  <c r="A36" i="4"/>
  <c r="A82" i="4"/>
  <c r="M66" i="4"/>
  <c r="B66" i="4"/>
  <c r="C219" i="4"/>
  <c r="B152" i="4"/>
  <c r="A154" i="4"/>
  <c r="B116" i="4"/>
  <c r="H29" i="4"/>
  <c r="A5" i="4"/>
  <c r="B85" i="4"/>
  <c r="B126" i="4"/>
  <c r="C141" i="4"/>
  <c r="A4" i="4"/>
  <c r="G14" i="4"/>
  <c r="G185" i="4"/>
  <c r="B39" i="4"/>
  <c r="M45" i="4"/>
  <c r="G13" i="4"/>
  <c r="B243" i="4"/>
  <c r="B16" i="4"/>
  <c r="B163" i="4"/>
  <c r="F45" i="4"/>
  <c r="B45" i="4"/>
  <c r="A102" i="4"/>
  <c r="B132" i="4"/>
  <c r="B172" i="4"/>
  <c r="B136" i="4"/>
  <c r="B98" i="4"/>
  <c r="B216" i="4"/>
  <c r="B221" i="4"/>
  <c r="B41" i="4"/>
  <c r="C108" i="4"/>
  <c r="F29" i="4"/>
  <c r="B71" i="4"/>
  <c r="G116" i="4"/>
  <c r="B55" i="4"/>
  <c r="J232" i="4"/>
  <c r="A141" i="4"/>
  <c r="C74" i="4"/>
  <c r="B29" i="4"/>
  <c r="C125" i="4"/>
  <c r="F116" i="4"/>
  <c r="B25" i="4"/>
  <c r="A218" i="4"/>
  <c r="C116" i="4"/>
  <c r="B182" i="4"/>
  <c r="J59" i="4"/>
  <c r="E78" i="4"/>
  <c r="C76" i="4"/>
  <c r="B247" i="4"/>
  <c r="B135" i="4"/>
  <c r="C99" i="4"/>
  <c r="B10" i="4"/>
  <c r="J66" i="4"/>
  <c r="E77" i="4"/>
  <c r="B104" i="4"/>
  <c r="C157" i="4"/>
  <c r="A167" i="4"/>
  <c r="B59" i="4"/>
  <c r="B138" i="4"/>
  <c r="B150" i="4"/>
  <c r="A87" i="4"/>
  <c r="B113" i="4"/>
  <c r="G108" i="4"/>
  <c r="B64" i="4"/>
  <c r="E90" i="4"/>
  <c r="B230" i="4"/>
  <c r="J50" i="4"/>
  <c r="B80" i="4"/>
  <c r="B50" i="4"/>
  <c r="B122" i="4"/>
  <c r="F185" i="4"/>
  <c r="B14" i="4"/>
  <c r="M29" i="4"/>
  <c r="H225" i="4"/>
  <c r="H59" i="4"/>
  <c r="B249" i="4"/>
  <c r="A165" i="4"/>
  <c r="E94" i="4"/>
  <c r="H66" i="4"/>
  <c r="A168" i="4"/>
  <c r="B76" i="4"/>
  <c r="H232" i="4"/>
  <c r="C129" i="4"/>
  <c r="B213" i="4"/>
  <c r="A73" i="4"/>
  <c r="B246" i="4"/>
  <c r="B241" i="4"/>
  <c r="K4" i="4"/>
  <c r="E2" i="4"/>
  <c r="A23" i="4"/>
  <c r="C77" i="4"/>
  <c r="B173" i="4"/>
  <c r="C170" i="4"/>
  <c r="B89" i="4"/>
  <c r="A8" i="4"/>
  <c r="B143" i="4"/>
  <c r="J225" i="4"/>
  <c r="A2" i="4"/>
  <c r="A148" i="4"/>
  <c r="A129" i="4"/>
  <c r="B131" i="4"/>
  <c r="C155" i="4"/>
  <c r="C143" i="4"/>
  <c r="B223" i="4"/>
  <c r="J45" i="4"/>
  <c r="F225" i="4"/>
  <c r="B222" i="4"/>
  <c r="H45" i="4"/>
  <c r="C83" i="4"/>
</calcChain>
</file>

<file path=xl/sharedStrings.xml><?xml version="1.0" encoding="utf-8"?>
<sst xmlns="http://schemas.openxmlformats.org/spreadsheetml/2006/main" count="3301" uniqueCount="1407">
  <si>
    <t>Frequency</t>
  </si>
  <si>
    <t>Control type</t>
  </si>
  <si>
    <t>Information about the control</t>
  </si>
  <si>
    <t>Guidance</t>
  </si>
  <si>
    <t>Select all that apply</t>
  </si>
  <si>
    <t>Inquiry regarding performance of the control</t>
  </si>
  <si>
    <t>Observation of the control taking place</t>
  </si>
  <si>
    <t>Inspection of relevant documentation</t>
  </si>
  <si>
    <t>Reperformance of the control</t>
  </si>
  <si>
    <t>Interim or year end test?</t>
  </si>
  <si>
    <t>Sample size?</t>
  </si>
  <si>
    <t>Del</t>
  </si>
  <si>
    <t>Add</t>
  </si>
  <si>
    <t>Date/period</t>
  </si>
  <si>
    <t>A</t>
  </si>
  <si>
    <t>B</t>
  </si>
  <si>
    <t>C</t>
  </si>
  <si>
    <t>D</t>
  </si>
  <si>
    <t>X</t>
  </si>
  <si>
    <t>Were exceptions noted during testing?</t>
  </si>
  <si>
    <t>Operating effectiveness conclusion for the period of reliance</t>
  </si>
  <si>
    <t>Reference the workpaper or describe procedures performed to support this conclusion</t>
  </si>
  <si>
    <t>Inspection of authorization</t>
  </si>
  <si>
    <t>Inspection of configuration</t>
  </si>
  <si>
    <t>Testing environment</t>
  </si>
  <si>
    <t>If testing is performed in an environment other than production, reference the workpaper or document procedures performed to validate that the environment has the same functionality as the production environment</t>
  </si>
  <si>
    <t>Date of testing</t>
  </si>
  <si>
    <t>Tickmark key</t>
  </si>
  <si>
    <t>If yes</t>
  </si>
  <si>
    <t>Instance</t>
  </si>
  <si>
    <t>Information inspected</t>
  </si>
  <si>
    <t>Document our audit response if the functionality is not the same</t>
  </si>
  <si>
    <t>Describe the procedures performed to evaluate the appropriateness of each setting with respect to the functioning of the application control</t>
  </si>
  <si>
    <t>Identify the key configurable attributes of the control and the appropriateness of the settings</t>
  </si>
  <si>
    <t>Screen/menu</t>
  </si>
  <si>
    <t>Field</t>
  </si>
  <si>
    <t>Identify the evidence used to create the list of screens/menus, fields and values to support this test</t>
  </si>
  <si>
    <t>Report name</t>
  </si>
  <si>
    <t>System</t>
  </si>
  <si>
    <t>Contents</t>
  </si>
  <si>
    <t>Identify the evidence used to create this list of roles, users and job titles</t>
  </si>
  <si>
    <t>Identify the individuals evaluated and the conclusion on the appropriateness of their access to this role</t>
  </si>
  <si>
    <t>Role/profile/group</t>
  </si>
  <si>
    <t>User</t>
  </si>
  <si>
    <t>Appropriate access?</t>
  </si>
  <si>
    <t>Identify the evidence used to create this list of roles, users and job titles to support our understanding</t>
  </si>
  <si>
    <t>Describe the circumstances under which overrides occur and any processes, policies or controls in place related to overrides</t>
  </si>
  <si>
    <t>Description</t>
  </si>
  <si>
    <t>Additional walkthroughs</t>
  </si>
  <si>
    <t>Period covered: From date (MM/YYYY)</t>
  </si>
  <si>
    <t>Period covered: To date (MM/YYYY)</t>
  </si>
  <si>
    <t>Update testing procedures (in order of least persuasive to most persuasive):</t>
  </si>
  <si>
    <t>Inquiries made of (list all individuals and their titles subject to update inquiries):</t>
  </si>
  <si>
    <t>Explain our audit response for any "yes" answers to the questions above.</t>
  </si>
  <si>
    <t>Observation</t>
  </si>
  <si>
    <t>Inspection</t>
  </si>
  <si>
    <t>Is the control higher risk or more subjective?</t>
  </si>
  <si>
    <t>Sample size</t>
  </si>
  <si>
    <t>Document the population used and the procedures to determine the completeness of the population</t>
  </si>
  <si>
    <t>Document the sample selection method, including who selected the sample</t>
  </si>
  <si>
    <t>Document any other special considerations in determining the sample</t>
  </si>
  <si>
    <t>If no, explain why and explain the additional procedures we performed in response including the results of those procedures and/or the change in our conclusion</t>
  </si>
  <si>
    <t>Have we included identified control deficiencies on our SOCD?</t>
  </si>
  <si>
    <t>Entity name:</t>
  </si>
  <si>
    <t>Related SCOT:</t>
  </si>
  <si>
    <t>Workpaper reference of SCOT form</t>
  </si>
  <si>
    <t>Control description</t>
  </si>
  <si>
    <t>Review or monitoring control?</t>
  </si>
  <si>
    <t>Reference the workpapers where we have included the testing grid(s) and any testing program or other relevant documentation</t>
  </si>
  <si>
    <t>Information produced by the entity (IPE) used in the execution of the control</t>
  </si>
  <si>
    <t>Is any information produced by the entity used in the execution of this control?</t>
  </si>
  <si>
    <t>Period covered by our ToC:   From date (MM/YYYY)</t>
  </si>
  <si>
    <t>Period covered by our ToC:   To date (MM/YYYY)</t>
  </si>
  <si>
    <t>add rows as necessary</t>
  </si>
  <si>
    <t>ToC procedures to be performed</t>
  </si>
  <si>
    <t>Design attributes</t>
  </si>
  <si>
    <t>Result of procedures</t>
  </si>
  <si>
    <t>Reference the workpaper where we document how the IPE risks are addressed</t>
  </si>
  <si>
    <t>Sample item #</t>
  </si>
  <si>
    <t>Attribute satisfied without exception</t>
  </si>
  <si>
    <t>W/P reference</t>
  </si>
  <si>
    <t>Description of sample item</t>
  </si>
  <si>
    <t>Timing of the ToC</t>
  </si>
  <si>
    <t>Same functionality?</t>
  </si>
  <si>
    <t>Testing procedures</t>
  </si>
  <si>
    <t>Conclusion</t>
  </si>
  <si>
    <t>Independent testing by EY</t>
  </si>
  <si>
    <t>Reperformance of the work of the internal audit function</t>
  </si>
  <si>
    <t>Review of the testing program and results of the internal audit function</t>
  </si>
  <si>
    <t>Using the work of the internal audit function:</t>
  </si>
  <si>
    <t>Testing strategy and work plan when using the internal audit function</t>
  </si>
  <si>
    <t>Timing of ToC performed by the internal audit function</t>
  </si>
  <si>
    <t>Extent of ToC performed by the internal audit function</t>
  </si>
  <si>
    <t>Has the internal audit function used an appropriate testing strategy, including testing the appropriate control design attributes?</t>
  </si>
  <si>
    <t>Reperformance of ToC performed by the internal audit function</t>
  </si>
  <si>
    <t>Number of selections for reperformance</t>
  </si>
  <si>
    <t>Job title</t>
  </si>
  <si>
    <t>Operating effectiveness conclusion as of interim testing date</t>
  </si>
  <si>
    <t>Workpaper reference of interim testing</t>
  </si>
  <si>
    <t>Timing of the update ToC</t>
  </si>
  <si>
    <t>Calculated percentage reperformed</t>
  </si>
  <si>
    <t>Internal audit function - As a result of our procedures related to this control, has the work of the internal audit function been in line with our original assessment of their competence, objectivity or application of a systematic and disciplined approach, including quality control?</t>
  </si>
  <si>
    <t>If no, describe why the deficiency identified by the internal audit function was not relevant to our conclusion on the operating effectiveness of the control</t>
  </si>
  <si>
    <t>What is the operating effectiveness conclusion reached by the internal audit function?</t>
  </si>
  <si>
    <t>ToC procedures reperformed</t>
  </si>
  <si>
    <t>Do we agree with this conclusion based on the work we reviewed or reperformed?</t>
  </si>
  <si>
    <t>Our evaluation of nature, timing and extent of testing performed by the internal audit function</t>
  </si>
  <si>
    <t>If no, describe why and the additional independent procedures we performed</t>
  </si>
  <si>
    <t>Description of the procedures performed to determine the population for testing (is it appropriate and complete), the sample size and how the sample was selected</t>
  </si>
  <si>
    <t>Do we have persuasive evidence that the exceptions are random?</t>
  </si>
  <si>
    <t>Document how we extended our sample to address the random control exception</t>
  </si>
  <si>
    <t>Did we identify and test compensating controls?</t>
  </si>
  <si>
    <t>Reference the name(s) of the compensating control(s)</t>
  </si>
  <si>
    <t>add rows for tickmarks or notes, including descriptions of exceptions, as necessary</t>
  </si>
  <si>
    <t>Describe our understanding of the nature and cause of the exceptions and the persuasive evidence that supports the assessment of the exception as random</t>
  </si>
  <si>
    <t>Describe if exceptions are determined to be deficiencies and the information to be included on the SOCD</t>
  </si>
  <si>
    <t>Document our consideration of the risk factors to determine the nature, timing and extent of our update procedures:</t>
  </si>
  <si>
    <t>Testing strategy</t>
  </si>
  <si>
    <t>(formula, do not edit)</t>
  </si>
  <si>
    <t>Operating effectiveness conclusion:</t>
  </si>
  <si>
    <t>Document the selections for reperformance and our procedures to reperform below or refer to another workpaper</t>
  </si>
  <si>
    <t>Operating effectiveness conclusion after update of ToC:</t>
  </si>
  <si>
    <t>Original ToC</t>
  </si>
  <si>
    <t>Update ToC</t>
  </si>
  <si>
    <t>Inspection of physical evidence</t>
  </si>
  <si>
    <t>Additional detail tests of controls</t>
  </si>
  <si>
    <t>Additional detail ToC</t>
  </si>
  <si>
    <t>As documented in the SCOT form</t>
  </si>
  <si>
    <t>Were exceptions noted during our update ToC?</t>
  </si>
  <si>
    <t>Workpaper ref.:</t>
  </si>
  <si>
    <t>Describe the walkthrough procedures performed, including the person(s) we made inquiries of and the transaction or control instance we used to confirm our understanding</t>
  </si>
  <si>
    <t>Describe documents or other physical evidence inspected</t>
  </si>
  <si>
    <t>Describe the control procedures observed</t>
  </si>
  <si>
    <t>Related IT application(s)</t>
  </si>
  <si>
    <t>Is this control configurable?</t>
  </si>
  <si>
    <t>● The partner in charge of the audit and the engagement quality reviewer approve our planned use of the work of the internal audit function in areas with higher risk of material misstatement or higher subjectivity. We document our planned use of the internal audit function in these areas in the Audit Strategies Memorandum (ASM).  Refer to EY GAM INTERNAL-AUDIT 1.2.1.
● As the risk of material misstatement or subjectivity of the area we plan to use the work of internal auditors or others increases, we include in our documentation the basis for our use of the work of internal auditors or others in that area, and we increase the extent of our reperformance and/or supervision and review in such areas. 
          Such areas include:
          ● Areas with higher inherent risk or fraud risk
          ● Areas where material weaknesses or significant deficiencies were identified in the current or prior years
          ● Procedures to address the risk of fraud (e.g., journal entry testing)
          ● Entity-level (including group-wide) controls</t>
  </si>
  <si>
    <t>Applicable GAAS:</t>
  </si>
  <si>
    <t xml:space="preserve">Control </t>
  </si>
  <si>
    <t xml:space="preserve">Were there any indicators of fraudulent activity, errors or an increased potential for management override? </t>
  </si>
  <si>
    <t>E</t>
  </si>
  <si>
    <t>Tests of the control:</t>
  </si>
  <si>
    <t>Update of tests of the control:</t>
  </si>
  <si>
    <t>Current value</t>
  </si>
  <si>
    <t>Appropriate value?</t>
  </si>
  <si>
    <t>List the controls and processes used to monitor overrides (Include a reference to where these controls are tested)</t>
  </si>
  <si>
    <t>W/P ref</t>
  </si>
  <si>
    <t>Nature of the engagement:</t>
  </si>
  <si>
    <t>TBD</t>
  </si>
  <si>
    <t>Testing strategy - using the work of the internal audit function     (click "+" to expand for guidance)</t>
  </si>
  <si>
    <t>Considerations for higher risk, including more subjective controls when using the internal audit function or others     (click "+" to expand for guidance)</t>
  </si>
  <si>
    <t>Internal audit function - conclusions about their testing, the control and our reassessment of their competence and objectivity or application of a systematic and disciplined approach, including quality control      (click "+" to expand for guidance)</t>
  </si>
  <si>
    <t xml:space="preserve">● We reassess our preliminary evaluation of competence and objectivity of the internal audit function throughout the audit. These reassessment activities include our evaluation of a systematic and disciplined approach, including quality control. In addition, we reassess whether the planned extent of the use of the internal audit function is appropriate based on the results of our supervision, review and reperformance of their work.
 [US GAAS] Our considerations for the use of internal audit also include consideration of the work of others. We document the extent of involvement of internal auditors and others in our audit in the Using the work of the internal auditors or others form. [US GAAS] </t>
  </si>
  <si>
    <t>Nature of the ToC     (click "+" to expand for guidance)</t>
  </si>
  <si>
    <t>●  We design our tests of controls to include inquiry in combination with other procedures to obtain audit evidence about the operating effectiveness of the controls - Inquiry alone does not provide sufficient evidence to support a conclusion about the effectiveness of a control.
●  Procedures that we perform to test operating effectiveness include a mix of inquiry, observation, inspection and reperformance
●  We obtain more persuasive audit evidence the greater our reliance on the controls
●  We vary the nature, timing and extent of our tests of controls from year to year to introduce unpredictability into the testing and to respond to changes in circumstances.  
●  When we design our tests of controls, we assess the relevance and reliability of information that we plan to obtain as audit evidence.  
● The following are examples of some procedures we can perform to gather evidence of and test the precision of a review control:
         ● Performing inquiries of control owner and reviewer
         ● Performing corroborating inquiries with others
         ● Inspecting evidence (e.g., email correspondence) of follow-up procedures performed, if available
         ● Confirm that the review control is operated at a level of sensitivity sufficient to detect a material misstatement at the assertion level, individually or in the aggregate in combination with other relevant controls
         ● Observing the timely resolution/correction of unreconciled differences or errors
         ● Inspecting evidence of those matters reviewed and questions asked that initiated follow-up
         ● Inspecting draft versions of documents and items supporting the control execution
         ● Reperform relevant control procedures that were originally performed as part of the review control
●  [PCAOB] We consider the risk associated with the control in determining the nature of testing. [PCAOB]
● [PCAOB] We need more persuasive evidence when the risk associated with a control is higher. The risk associated with a control consists of the risk that the control might not be effective, and if not effective, the risk that a material misstatement, or, for an integrated audit, a material weakness, would result. In determining how much evidence is necessary, we also consider the importance of the control to our audit strategy. As the risk associated with the control increases or the importance of the control to our audit strategy increases, more evidence is needed. More evidence can be obtained by changing the nature and/or extent of our testing. [PCAOB]
●  [PCAOB] As the risk related to the control  increases, we would combine testing methods (e.g., add re-performance to our inquiry and observation procedures) or use methods that provide more persuasive evidence. [PCAOB]
●  Refer to EY GAM CONTROLS 5.2</t>
  </si>
  <si>
    <t>Extent of the ToC     (click "+" to expand for guidance)</t>
  </si>
  <si>
    <t xml:space="preserve">●  Refer to EY GAM SAMPLE 3.3 for the minimum sample sizes based on the nature and frequency of control performance.
●  The minimum sample size for a specific control is based on situations when we are testing more than one control related to a relevant assertion, and when we do not expect to find exceptions in the operation of the control. 
●  If we plan to test only one control related to a relevant assertion, we obtain more assurance for that one control because we are placing greater reliance on it. Therefore, we select a larger sample size than the minimum. Refer to EY GAM SAMPLE 3.3.
●  We consider the factors listed in EY GAM SAMPLE 3.4 to determine if we require more audit evidence of the operating effectiveness of the control and therefore increase our sample size above the minimum.
● [PCAOB] We consider the risk associated with the control in determining the extent of testing:
We need more persuasive evidence when the risk associated with a control is higher. The risk associated with a control consists of the risk that the control might not be effective, and if not effective, the risk that a material misstatement, or, for an integrated audit, a material weakness, would result. In determining how much evidence is necessary, we also consider the importance of the control to our audit strategy. As the risk associated with the control increases or the importance of the control to our audit strategy increases, more evidence is needed. More evidence can be obtained by changing the nature and/or extent of our testing.
As the risk associated with the control increases, we can increase the sample size to obtain additional evidence, or likewise reduce the sample size when the risk associated with the control is lower.  [PCAOB] </t>
  </si>
  <si>
    <t>Considerations of risk factors to determine our update ToC     (click "+" to expand for guidance)</t>
  </si>
  <si>
    <t>● When we execute our tests of controls during an interim period and conclude that we are able to rely on controls, we:
    • Obtain audit evidence about significant changes to those controls subsequent to the interim period
    • Determine the additional audit evidence to be obtained for the remaining period
    • Perform an appropriate combination of inquiries, observations, inspections, additional walkthroughs and additional tests of controls
When we perform our tests of controls more than six months prior to the balance sheet date, we perform additional walkthroughs or tests of controls in addition to updating our understanding through inquiries, observations and inspections. Refer to EY GAM CONTROLS 9.
The nature and extent of our control update procedures should be responsive to the risk that controls are no longer effective during the remaining period. Refer to EY GAM CONTROLS 9 for examples of these risk factors.
● [PCAOB - Integrated Audits] In  an integrated audit, we generally perform additional or more extensive tests of controls (i.e., more extensive inquiry, observation and inspection) to update our evaluation of those controls from the time of our interim procedures through period end as compared to the additional testing performed in a financial statement audit, because we need to support our opinion on internal control over financial reporting as at the period end. [PCAOB - Integrated Audits] 
● We consider the following risk factors in determining the additional audit evidence to be obtained about controls that we tested in the interim period:
          ● The significance of the identified risks of material misstatement for the relevant assertions
          ● The objectiveness and persuasiveness of the audit evidence
          ● The length of the remaining period
          ● The number of occurrences of the control
          ● The control environment
          ● The existence of monitoring controls
          ● The effectiveness of ITGCs
          ● Control exceptions identified
          ● Changes to controls tested in the interim period.
          ● Results of substantive procedures
          ● [PCAOB] The risk associated with the controls [PCAOB]</t>
  </si>
  <si>
    <t>Nature of the update ToC     (Click "+" to expand for guidance)</t>
  </si>
  <si>
    <t xml:space="preserve">Nature of update ToC procedures for the remaining period (in order of least persuasive to most persuasive):
● Inquiry – We inquire of individuals who execute and individuals who directly monitor the specific controls (management and other employees) and establish whether there are any indications of:
          ● Changes in the design or operation of the specific control
          ● Reassignments of duties or authorization levels
          ● Changes in key personnel, IT systems or IT applications
          ● The introduction of new IT systems, IT applications or policies and procedures
          ● Any errors in the related account(s) during the remaining period
          ● Other significant changes that may affect our conclusion about the continued effectiveness of the controls tested
● Observation – We observe control procedures performed in the remaining period
● Inspection – We inspect physical evidence (such as reports and the evidence that such reports were reviewed, reviewing reconciliations, reading minutes) prepared at relevant times during the remaining period.
● Additional walkthroughs – We perform additional walkthrough procedures for specific controls or groups of controls to respond to risk factors (e.g., evidence from our inquiry, observation or inspection indicate that there are significant changes that could affect the relevance of the audit evidence obtained in the interim period or our conclusion on the operating effectiveness of the controls tested).
● Additional detail tests of controls – We perform additional tests of controls to respond to the risk factors identified as discussed above </t>
  </si>
  <si>
    <t>Have there been any changes made to the control since our previous testing?</t>
  </si>
  <si>
    <t>Inquiry</t>
  </si>
  <si>
    <t>LABEL TO BE USED ON SHEETS AND IN CODE or DROPDOWNNAME</t>
  </si>
  <si>
    <t>English</t>
  </si>
  <si>
    <t>Spanish</t>
  </si>
  <si>
    <t>German</t>
  </si>
  <si>
    <t>Japanese</t>
  </si>
  <si>
    <t>Portuguese</t>
  </si>
  <si>
    <t>Hebrew</t>
  </si>
  <si>
    <t>Korean</t>
  </si>
  <si>
    <t>Russian</t>
  </si>
  <si>
    <t>Chinese Traditional</t>
  </si>
  <si>
    <t>Chinese Simplified</t>
  </si>
  <si>
    <t>French Canadian</t>
  </si>
  <si>
    <t>No</t>
  </si>
  <si>
    <t>it application control</t>
  </si>
  <si>
    <t>integrated audit of financial statements and internal control over financial reporting</t>
  </si>
  <si>
    <t>it dependent manual control</t>
  </si>
  <si>
    <t>Do you want to proceed?</t>
  </si>
  <si>
    <t>OK</t>
  </si>
  <si>
    <t>Tips and guidance</t>
  </si>
  <si>
    <t>IPE produced by an application is always used in an ITDM control - if the type of control is ITDM, yes is pre-populated here.</t>
  </si>
  <si>
    <t>We use a separate workpaper to document how we address IPE risks, including the IPE risks relating to the automated portion of an ITDM control.</t>
  </si>
  <si>
    <t>This includes situations when we obtain direct assistance from internal auditors. Refer to EY GAM INTERNAL-AUDIT 2.</t>
  </si>
  <si>
    <t>[US GAAS] Our considerations for the use of the internal audit function also include consideration of the work of others.</t>
  </si>
  <si>
    <t>As a result of our testing procedures we conclude whether the control attributes were present and the control operated through the period of reliance as designed to prevent, or detect and correct, material misstatements at the assertion level.</t>
  </si>
  <si>
    <t>We may document our procedures directly on the workpapers prepared by the internal audit function and retained as part of our audit documentation</t>
  </si>
  <si>
    <t>For an application control: e.g., transaction type, processing alternative, access restriction</t>
  </si>
  <si>
    <t>If we conclude that a control is not operating effectively and a control deficiency exists, we include it on our SOCD.
[US GAAS] EY Form U220 Summary of control deficiencies (SOCD) serves as the primary documentation of our conclusions regarding the evaluation of identified deficiencies both individually and in the aggregate.</t>
  </si>
  <si>
    <t>For example, have there been significant modifications to the related processes? Have there been new or significant modifications to the related IT systems? Have there been any changes in job roles or responsibilities?</t>
  </si>
  <si>
    <t>We select items for the sample in such a way that each sampling unit in the population has a chance of selection. Refer to the guidance in EY GAM SAMPLE 2.4 on determining the sample selection method (random, systematic, haphazard).
We describe how we determined the sample size if it is not evident from the description or frequency of the control, such as when the example is based on a percentage of occurrences (i.e., when the frequency of the control is 'other').</t>
  </si>
  <si>
    <t>The population has to be complete and appropriate for our ToC, EY GAM SAMPLE 3.2
We select items for the sample in such a way that each sampling unit in the population has a chance of selection. Refer to the guidance in EY GAM SAMPLE 2.4 on determining the sample selection method (random, systematic, haphazard).
We describe how we determined the sample size if it is not evident from the description or frequency of the control, such as when the example is based on a percentage of occurrences (i.e., when the frequency of the control is 'other').
For application controls, document how the aggregate IT evaluation was considered.</t>
  </si>
  <si>
    <t>DoNotEdit</t>
  </si>
  <si>
    <t>UseOfIAOthers</t>
  </si>
  <si>
    <t>SampleSizeNote</t>
  </si>
  <si>
    <t>TestOfControlsNote</t>
  </si>
  <si>
    <t>InpectionOfAuth</t>
  </si>
  <si>
    <t>ConfigControls</t>
  </si>
  <si>
    <t>InternalAuditNote</t>
  </si>
  <si>
    <t>ManuallyOverrideNote</t>
  </si>
  <si>
    <t>PrelimEvalNote</t>
  </si>
  <si>
    <t>SupportAppNote</t>
  </si>
  <si>
    <t>ExecuteTOCsNote</t>
  </si>
  <si>
    <t>AbilityToOverride</t>
  </si>
  <si>
    <t>AddRowsAsNec</t>
  </si>
  <si>
    <t>AddRowsForTick</t>
  </si>
  <si>
    <t>AdditionalDetail1</t>
  </si>
  <si>
    <t>AdditionalDetail2</t>
  </si>
  <si>
    <t>AdditionalWT</t>
  </si>
  <si>
    <t>ApplicableGAAS</t>
  </si>
  <si>
    <t>AppropriateAccess</t>
  </si>
  <si>
    <t>AppropriateValue</t>
  </si>
  <si>
    <t>TestProcConclude</t>
  </si>
  <si>
    <t>AsDocumented</t>
  </si>
  <si>
    <t>AttributeSat</t>
  </si>
  <si>
    <t>CalculatedPercent</t>
  </si>
  <si>
    <t>ConsiderHigher</t>
  </si>
  <si>
    <t>ConsiderRisk</t>
  </si>
  <si>
    <t>Control</t>
  </si>
  <si>
    <t>ControlDesc</t>
  </si>
  <si>
    <t>ControlType</t>
  </si>
  <si>
    <t>CurrentValue</t>
  </si>
  <si>
    <t>DateOfTesting</t>
  </si>
  <si>
    <t>DatePeriod</t>
  </si>
  <si>
    <t>Date</t>
  </si>
  <si>
    <t>DescribeDocs</t>
  </si>
  <si>
    <t>DescribeExceptions</t>
  </si>
  <si>
    <t>DescribeNature</t>
  </si>
  <si>
    <t>DescribeOverrides</t>
  </si>
  <si>
    <t>DescribeControlProc</t>
  </si>
  <si>
    <t>DescribeProcs2</t>
  </si>
  <si>
    <t>DescribeProcs1</t>
  </si>
  <si>
    <t>DescribeEval1</t>
  </si>
  <si>
    <t>DescribeEval2</t>
  </si>
  <si>
    <t>DescribeEval3</t>
  </si>
  <si>
    <t>DescribeRoles</t>
  </si>
  <si>
    <t>DescribeWTs</t>
  </si>
  <si>
    <t>DescSample</t>
  </si>
  <si>
    <t>DescPopTesting</t>
  </si>
  <si>
    <t>DesignAttrib</t>
  </si>
  <si>
    <t>DetermineInstance</t>
  </si>
  <si>
    <t>IdentifyControls</t>
  </si>
  <si>
    <t>UserOverride</t>
  </si>
  <si>
    <t>AgreeWithConclude</t>
  </si>
  <si>
    <t>PersuasiveEvidence</t>
  </si>
  <si>
    <t>Proceed</t>
  </si>
  <si>
    <t>DocSpecialConsider</t>
  </si>
  <si>
    <t>DocExtendedSample</t>
  </si>
  <si>
    <t>DocAuditResponse</t>
  </si>
  <si>
    <t>DocAuditInstance</t>
  </si>
  <si>
    <t>DocResponse</t>
  </si>
  <si>
    <t>DocRiskFactors</t>
  </si>
  <si>
    <t>DocPopulation</t>
  </si>
  <si>
    <t>DocSampleMethod</t>
  </si>
  <si>
    <t>DocReperformance</t>
  </si>
  <si>
    <t>EntityName</t>
  </si>
  <si>
    <t>EvalConfig</t>
  </si>
  <si>
    <t>ExplainResponse</t>
  </si>
  <si>
    <t>ExtentTOC</t>
  </si>
  <si>
    <t>ExtentTOC2</t>
  </si>
  <si>
    <t>AppControlDesc</t>
  </si>
  <si>
    <t>SigModifications</t>
  </si>
  <si>
    <t>TimingGuidance</t>
  </si>
  <si>
    <t>IAAppropriate</t>
  </si>
  <si>
    <t>ChangesToControls</t>
  </si>
  <si>
    <t>ControlDef</t>
  </si>
  <si>
    <t>IdentifyEvidence</t>
  </si>
  <si>
    <t>IdentifyRoles</t>
  </si>
  <si>
    <t>IdentifySupport</t>
  </si>
  <si>
    <t>IdentifyTest</t>
  </si>
  <si>
    <t>IdentifyIndiv</t>
  </si>
  <si>
    <t>IdentifyKey</t>
  </si>
  <si>
    <t>MultipleInstances</t>
  </si>
  <si>
    <t>DescribeWhy</t>
  </si>
  <si>
    <t>DescribeWhy2</t>
  </si>
  <si>
    <t>DescribeWhy3</t>
  </si>
  <si>
    <t>TestingPerformed</t>
  </si>
  <si>
    <t>ConcludeControl</t>
  </si>
  <si>
    <t>ConcludeControl2</t>
  </si>
  <si>
    <t>IfYes</t>
  </si>
  <si>
    <t>IndependentTesting</t>
  </si>
  <si>
    <t>InformationAboutCon</t>
  </si>
  <si>
    <t>InfoInspected</t>
  </si>
  <si>
    <t>InfoProduced</t>
  </si>
  <si>
    <t>InquiriesMade</t>
  </si>
  <si>
    <t>InquiryPerf</t>
  </si>
  <si>
    <t>InspectionAuth</t>
  </si>
  <si>
    <t>InspectionConfig</t>
  </si>
  <si>
    <t>InspectionEvidence</t>
  </si>
  <si>
    <t>InspectionDoc</t>
  </si>
  <si>
    <t>IAOverFS</t>
  </si>
  <si>
    <t>InterimYearEnd</t>
  </si>
  <si>
    <t>IAFunction</t>
  </si>
  <si>
    <t>IAFunction2</t>
  </si>
  <si>
    <t>IPEProduced</t>
  </si>
  <si>
    <t>InfoByEntity</t>
  </si>
  <si>
    <t>ControlHigher</t>
  </si>
  <si>
    <t>ControlConfig</t>
  </si>
  <si>
    <t>SingleInstance</t>
  </si>
  <si>
    <t>ITAppControl</t>
  </si>
  <si>
    <t>ITDM</t>
  </si>
  <si>
    <t>JobTitle</t>
  </si>
  <si>
    <t>ListOfControls</t>
  </si>
  <si>
    <t>NatireOfTiming</t>
  </si>
  <si>
    <t>NatureEngage</t>
  </si>
  <si>
    <t>NatureTOC</t>
  </si>
  <si>
    <t>NatureUpdate</t>
  </si>
  <si>
    <t>NatureUpdateNote</t>
  </si>
  <si>
    <t>NumSelection</t>
  </si>
  <si>
    <t>ObserveControl</t>
  </si>
  <si>
    <t>OpEffUpdate</t>
  </si>
  <si>
    <t>OpEffInterim</t>
  </si>
  <si>
    <t>OpEffPeriod</t>
  </si>
  <si>
    <t>OpEffConclude</t>
  </si>
  <si>
    <t>OriginalTOC</t>
  </si>
  <si>
    <t>EvalNature</t>
  </si>
  <si>
    <t>PeriodTOCFrom</t>
  </si>
  <si>
    <t>PeriodTOCTo</t>
  </si>
  <si>
    <t>PeriodFrom</t>
  </si>
  <si>
    <t>PeriodTo</t>
  </si>
  <si>
    <t>RefName</t>
  </si>
  <si>
    <t>RefWP</t>
  </si>
  <si>
    <t>RefWPIPE</t>
  </si>
  <si>
    <t>RefWPTestingGrid</t>
  </si>
  <si>
    <t>RelatedITApps</t>
  </si>
  <si>
    <t>RelatedSCOT</t>
  </si>
  <si>
    <t>Reperformance</t>
  </si>
  <si>
    <t>ReperfIA</t>
  </si>
  <si>
    <t>ReperfTOC</t>
  </si>
  <si>
    <t>ReportName</t>
  </si>
  <si>
    <t>ResultsOfPRoc</t>
  </si>
  <si>
    <t>ReviewTesting</t>
  </si>
  <si>
    <t>ReviewControl</t>
  </si>
  <si>
    <t>RoleProfile</t>
  </si>
  <si>
    <t>SameFunc</t>
  </si>
  <si>
    <t>SampleItem</t>
  </si>
  <si>
    <t>SampleSize</t>
  </si>
  <si>
    <t>SampleSize2</t>
  </si>
  <si>
    <t>ScreenMenu</t>
  </si>
  <si>
    <t>SelectAll</t>
  </si>
  <si>
    <t>TestingEnvir</t>
  </si>
  <si>
    <t>TestingProcs</t>
  </si>
  <si>
    <t>TestingStrategy</t>
  </si>
  <si>
    <t>TestingStrategy2</t>
  </si>
  <si>
    <t>TestingStrategy3</t>
  </si>
  <si>
    <t>TestOfCont</t>
  </si>
  <si>
    <t>NatureNote</t>
  </si>
  <si>
    <t>PopNote</t>
  </si>
  <si>
    <t>DirectAssisNote</t>
  </si>
  <si>
    <t>TickmarkKey</t>
  </si>
  <si>
    <t>TimingOfTOC</t>
  </si>
  <si>
    <t>TimingOfUpdate</t>
  </si>
  <si>
    <t>TimingIA</t>
  </si>
  <si>
    <t>TipsAndGuidance</t>
  </si>
  <si>
    <t>TOCProcReperform</t>
  </si>
  <si>
    <t>TOCProcsPerform</t>
  </si>
  <si>
    <t>UpdateTOC</t>
  </si>
  <si>
    <t>UpdateTestingProc</t>
  </si>
  <si>
    <t>UpdateTOC2</t>
  </si>
  <si>
    <t>UsingIA</t>
  </si>
  <si>
    <t>WPRef</t>
  </si>
  <si>
    <t>WPREf2</t>
  </si>
  <si>
    <t>WeMayDoc</t>
  </si>
  <si>
    <t>WeSelect</t>
  </si>
  <si>
    <t>WeUseSeparate</t>
  </si>
  <si>
    <t>ExpectUpdate</t>
  </si>
  <si>
    <t>ExceptNoted</t>
  </si>
  <si>
    <t>IndicatorsFraud</t>
  </si>
  <si>
    <t>OperateEff</t>
  </si>
  <si>
    <t>WPRef3</t>
  </si>
  <si>
    <t>WPRefInterim</t>
  </si>
  <si>
    <t>WPRefSCOT</t>
  </si>
  <si>
    <t>Dropdown Options</t>
  </si>
  <si>
    <t>Effective</t>
  </si>
  <si>
    <t>Ineffective</t>
  </si>
  <si>
    <t>DropdownLanguage</t>
  </si>
  <si>
    <t>DropdownYesNo</t>
  </si>
  <si>
    <t>Yes</t>
  </si>
  <si>
    <t>United States</t>
  </si>
  <si>
    <t>All Others</t>
  </si>
  <si>
    <t>DropdownGAAS</t>
  </si>
  <si>
    <t>DropdownNature</t>
  </si>
  <si>
    <t>Review of interim financial information</t>
  </si>
  <si>
    <t>Audit of financial statements</t>
  </si>
  <si>
    <t>Integrated audit of financial statements and internal control over financial reporting</t>
  </si>
  <si>
    <t>AllOthers</t>
  </si>
  <si>
    <t>Nature1</t>
  </si>
  <si>
    <t>Nature2</t>
  </si>
  <si>
    <t>Nature3</t>
  </si>
  <si>
    <t>Manual prevent</t>
  </si>
  <si>
    <t>Manual detect</t>
  </si>
  <si>
    <t>IT application control</t>
  </si>
  <si>
    <t>IT dependent manual control</t>
  </si>
  <si>
    <t>ITAppControl2</t>
  </si>
  <si>
    <t>ITDM2</t>
  </si>
  <si>
    <t>ManualDetect</t>
  </si>
  <si>
    <t>ManualPrevent</t>
  </si>
  <si>
    <t>DropdownFrequency</t>
  </si>
  <si>
    <t>DropdownCntlType</t>
  </si>
  <si>
    <t>Daily</t>
  </si>
  <si>
    <t>Weekly</t>
  </si>
  <si>
    <t>Monthly</t>
  </si>
  <si>
    <t>Quarterly</t>
  </si>
  <si>
    <t>Annually</t>
  </si>
  <si>
    <t>Other</t>
  </si>
  <si>
    <t>Many times a day</t>
  </si>
  <si>
    <t>ManyTimes</t>
  </si>
  <si>
    <t>Interim</t>
  </si>
  <si>
    <t>Year End</t>
  </si>
  <si>
    <t>DropdownInterim</t>
  </si>
  <si>
    <t>Production</t>
  </si>
  <si>
    <t>QA/Test</t>
  </si>
  <si>
    <t>DropdownEnviron</t>
  </si>
  <si>
    <t>Translate to:</t>
  </si>
  <si>
    <t>TranslateTo</t>
  </si>
  <si>
    <t>Document our consideration of the risk factors to determine the nature, timing and extent of our update procedures</t>
  </si>
  <si>
    <t>DropdownEffective</t>
  </si>
  <si>
    <t>TranslateEditMessage</t>
  </si>
  <si>
    <t>Translate to language cannot be blank.  Choose a language from the drop down to change it.</t>
  </si>
  <si>
    <t>UnitedStates</t>
  </si>
  <si>
    <t>Year-end date:</t>
  </si>
  <si>
    <t>Determine that the multiple instances of the same IT application have the same functionality as the test sample</t>
  </si>
  <si>
    <t>Is this test performed on a single instance of a multiple-instance IT application and intended to serve as the testing for multiple instances?</t>
  </si>
  <si>
    <t>Identify the evidence used to support this test or reference the testing</t>
  </si>
  <si>
    <t>Evaluate configurations that affect the functioning of the control     (click "+" to expand for guidance)</t>
  </si>
  <si>
    <t>● Non-configurable - Non-configurable controls are programmed within an application to perform the control as a result of either custom coding or functionality delivered with packaged software. We test each applicable transaction type and processing alternative to evaluate that the control is operating effectively.
● Configurable - Configurable application controls are performed depending on an application’s setup. Based on specific application setups, configurable controls may not operate in the same way between different categories of transactions in the same application. We inspect authorization and/or test the configuration for each applicable transaction type and processing alternative during our walkthrough to evaluate that the control is configured as designed by management.</t>
  </si>
  <si>
    <t>Describe the procedures performed to determine which roles within the system grant access to modify configurations that affect the functionality of the application or ITDM control</t>
  </si>
  <si>
    <t>IT application</t>
  </si>
  <si>
    <t>Document our audit response to any instances of inappropriate settings</t>
  </si>
  <si>
    <t>Describe the procedures performed to evaluate the appropriateness of each user with access to roles that grant the ability to modify configurations that affect the functionality of the application or ITDM control</t>
  </si>
  <si>
    <t>Nature and timing of the ToC for an application or ITDM control     (click "+" to expand for guidance)</t>
  </si>
  <si>
    <t>● Inspection of authorization: When controlled by a user who is part of the business process, we evaluate whether the privileges assigned to application users are commensurate with the users’ job responsibilities and support appropriate segregation of duties. 
● Inspection of configuration: A system configuration processes a transaction in a certain manner (e.g., the system will place an invoice on hold if a purchase price variance exceeds a configured threshold). This configuration can generally be inspected within an application screen or on a report.
● Reperformance of each applicable transaction type and processing alternative: We test how an applicable transaction is processed based on the application programming or configuration. Reperformance establishes that the application control operates consistently based on the application programming or configuration. If ITGCs for the application are Support, we perform one reperformance test per processing alternative. If ITGCs are Not Support, we perform more than one reperformances across the audit period. 
Refer to EY GAM CONTROLS 5.2b</t>
  </si>
  <si>
    <t>Clearing a validation stop    (click "+" to expand for guidance)</t>
  </si>
  <si>
    <t>● Automated controls may include tests of data that occur during transaction initiation or processing. Such testing results in a halt in processing to advise the user of a potential issue with the information. Certain edits halt processing or input until the condition is resolved through an update to one or more pieces of information or an acceptance of the difference by a person with specific access rights (and responsibility) to permit processing, or input, to continue. Other edits may be resolved by the IT application user acknowledging the information or condition without change to the information. We understand how the test that is part of the automated control is resolved in order to determine the usefulness of the control to address the WCGW. Generally, tests that require data correction or second approval are stronger controls than edits that merely notify the user.</t>
  </si>
  <si>
    <t>Can the execution of the control halt processing or create an exception report?</t>
  </si>
  <si>
    <t>Describe the process used to determine which roles within the system grant access to clear the validation edit</t>
  </si>
  <si>
    <t>Describe the procedures performed to evaluate the appropriateness of each user with access to roles that grant the ability to clear the validation edit</t>
  </si>
  <si>
    <t>ITDMExtentNote</t>
  </si>
  <si>
    <t>If multiple instances of the same application exists, separate testing is required for the application and ITDM controls for each in-scope instance. If testing was performed to confirm that the instances have the same functionality, document the procedures performed to support this conclusion here or add a reference our documentation.</t>
  </si>
  <si>
    <t>Describe or reference the procedures performed to determine if the multiple instances of this IT application have the same functionality (For example, were program objects, code, version number inspected to verify that the multiple instances have the same functionality?)</t>
  </si>
  <si>
    <t>Document our audit response to any instances of inappropriate access, including our consideration of the controls to monitor the access</t>
  </si>
  <si>
    <t>DocAuditInstance2</t>
  </si>
  <si>
    <t>Document our audit response to any instances of inappropriate access, including our consideration of the controls to monitor use of the access to clear edits</t>
  </si>
  <si>
    <t>(公式，不得修改)</t>
  </si>
  <si>
    <t>[US GAAS]我们对使用内部审计的考虑也包括了对其他人员工作的考虑。</t>
  </si>
  <si>
    <t>● 关于基于控制执行的性质和频率的最低样本量，请参阅EY GAM《样本3.3》。
● 特定控制的最低样本量基于两种情况，即当我们对多于一项的与相关认定相关的控制进行测试时，和当我们预计在执行控制过程中未发现例外情况时。
●如果我们计划仅对一项与相关认定相关的控制进行测试，则我们应针对该控制获得更多保证，原因是我们对该控制的依赖程度更高。因此，我们选择的样本量大于最低样本量。请参阅《样本3.3》。
●  我们考虑《样本3.4》中列出的因素，以确定我们是否需要更多控制运行有效性的审计证据且由此增加我们的样本量（超过最低样本量）。
● [PCAOB] 在确定测试范围时，我们考虑与控制相关的风险：
当与控制相关的风险较高时，我们需要更具说服力的证据。控制相关风险包括该控制可能无效的风险，以及如果控制无效将由此导致重大错报或（对于综合审计）重大缺陷的风险。在确定所需的证据数量时，我们还考虑控制对我们审计策略的重要性。随着与控制有关的风险的增加或控制对我们审计策略重要性的提高，我们需要更多的证据。通过更改我们测试的性质和/或范围可获取更多的证据。随着与控制相关的风险增加，我们可增加样本量以获取更多证据，或在与控制相关的风险较低时，减少样本量。[PCAOB]</t>
  </si>
  <si>
    <t>●  我们设计控制测试时，纳入询问与其他程序结合，以获取有关控制运行有效性的审计证据——单独询问并不能提供充分的证据来支持关于控制有效性的结论。
● 我们为测试运行有效性而执行的程序包括询问、观察、检查和重新执行的相结合
●  我们获取的审计证据的说服性越强，我们依赖控制的程度越高
●  我们每年更改控制测试的性质、时间和范围，以使测试不可预测并应对情况的变化。
●  当我们设计控制测试时，我们评估我们计划获取作为审计证据的信息的相关性与可靠性 。
● 以下是我们为收集复核控制精确度的证据和对其进行测试可执行的部分程序示例：
         ● 对控制所有者和评估人（复核人）进行询问
         ● 与其他人进行相互询问
         ● 检查已执行的后续程序的证据（例如，电子邮件往来）（若有）
         ● 确认复核控制在某一敏感性层面运行的敏感性程度足以单独或与其他相关控制一同发现认定层面的重大错报
         ● 观察对未调节的差异或错误的及时解决/更正
         ● 检查已复核事项的证据和所提出的发起后续工作的问题的证据
         ● 检查文件的初稿和支持控制执行的项目
         ● 重新执行最初作为复核控制一部分所执行的相关控制程序
● [PCAOB]我们在确定测试的性质时考虑与控制相关的风险。[PCAOB]
●[PCAOB]当与控制相关的风险较高时，我们需要更具说服力的证据。控制相关风险包括该控制可能无效的风险，以及如果控制无效将由此导致重大错报或（对于综合审计）重大缺陷的风险。在确定所需的证据数量时，我们还考虑控制对我们审计策略的重要性。随着与控制有关的风险的增加或控制对我们审计策略重要性的提高，我们需要更多的证据。通过更改我们测试的性质和/或范围可获取更多的证据。[PCAOB]
●[PCAOB]随着控制相关风险的增加，我们将合并测试方法（例如，向我们的询问和观察程序中添加重新执行）或使用可提供更具说服性的证据的方法。[PCAOB]
●参见《控制5.2》。</t>
  </si>
  <si>
    <t>● 自动化控制可包括对交易启动或处理时产生的数据之测试。该类测试结果导致处理中断以提示用户信息可能有问题。某些编辑中断处理或输入，直至情况通过更新一个或以上信息或由有特定访问权限（与责任）的人员接受该差异而得以允许继续处理或输入。其他编辑可通过IT应用用户承认该信息或情况解决而不需要更改该信息。我们了解作为自动化控制的一部分，该测试如何解决，以确认控制应对该可能出错项的有效性。一般来说，需要纠正数据或第二方批准的测试，与仅提示该用户的编辑相比，为更强的控制。</t>
  </si>
  <si>
    <t>●授权的检查：为确定IT应用程序的编程或配置基于用户工作职责限制访问，实施对职责分工的控制，我们评价向特定应用程序用户分配的特权是否与用户的工作职责相称及支持适当的职责分工。
●配置的检查：系统配置以既定方式处理交易（例如，如果采购价格差额超过配置的阈值，系统将暂停处理发票）。这项配置一般可在应用程序屏幕或报告中检查。
●重新执行各个适用的交易类别及处理备选方案：我们根据应用程序编程或配置测试如何处理适用交易。重新执行根据应用程序编程或配置确定应用程序控制运行是否一致。如果应用程序的IT一般控制（ITGC）属于支持，我们将针对每个处理备选方案进行一次重新执行测试。如果ITGC属于不支持，我们将在整个审计期间进行多于一次的重新执行测试。 
请参阅《控制5.2b》。</t>
  </si>
  <si>
    <t>●不可配置——不可配置的控制在一个应用程序内编程，以便执行套装软件内自定义代码或交付功能所形成的控制。我们测试每一个适用的交易类型和处理备选方案，以评价该控制正有效运行。
●可配置——可配置应用程序控制的执行取决于应用程序的设置。基于特定的应用程序设置，可配置控制可能不能在同一应用程序内的不同交易类别之间以相同方式运行。我们在穿行测试中检查每一个适用交易类别的授权和/或测试其配置以及处理备选方案，以便评价该控制按照管理层的设计进行了配置。</t>
  </si>
  <si>
    <t>●当我们在存在较高重大错报风险的领域或更高主观性的领域中计划使用内部审计职能的工作时，由审计负责合伙人以及项目质量复核人进行批准。我们在审计策略备忘录（ASM）中记录我们计划在上述领域使用内部审计职能。参考《内部审计1.2.1》。
●随着我们计划使用内部审计师或其他人员的工作使得该领域的重大错报风险或主观性增加，我们在文档记录中纳入我们在该领域使用内部审计师或其他人员工作的依据，并提高在这些领域中重新执行工作和/或监督及复核的程度。
          这些领域包括：
          ● 存在较高固有风险或舞弊风险的领域
          ● 本年度或之前年度识别出重大缺陷或重要缺陷的领域
          ● 解决舞弊风险的程序（例如记账分录测试）
          ●  企业整体层面（包括集团层面）控制</t>
  </si>
  <si>
    <t>●我们在整个审计过程中重新评估我们对内部审计职能的胜任能力和客观性的初步评价。这些重新评估活动包括我们对系统且严格的方法的评价，包括质量控制。此外，我们基于我们对其工作成果的监督、复核和重新执行的结果重新评估内部审计职能使用的已计划范围的适当性。
 [US GAAS] 我们对内部审计的使用考虑还包括了对其他人员的工作考虑。我们在《使用内部审计师或其他人员的工作》表格中记录内部审计师和其他人员参与我们审计的范围。[US GAAS]</t>
  </si>
  <si>
    <t>● 在中期执行我们的控制测试并得出结论认为我们能够依赖控制时，我们：
    • 就中期期后的该类控制的重大变更获取审计证据
    • 确定剩余期间将要获取的额外审计证据
    • 执行适当的询问、观察、检查、额外穿行测试及额外控制测试的组合
当我们在超过资产负债表日六个月前执行控制测试时，我们除了通过询问、观察和检查更新我们的了解之外，还执行额外的穿行测试或控制测试。参见《控制9》。
我们控制更新程序的性质和范围应响应这一风险，即控制在剩余期间内不再有效。
参见《控制9》了解这些风险因素的示例。
● [PCAOB-综合审计]在综合审计中，我们一般执行额外或更广泛的控制测试（即更广泛的询问、观察和检查），以便对照在财务报表审计中执行的额外测试，更新我们从中期程序时间直至期末所进行的控制的评价。原因是我们需要就我们截至期末的财务报告内部控制的观点提供支持。[PCAOB-综合审计]
● 在确定我们于中期测试的控制所获得的额外审计证据时，我们考虑以下风险因素：
          ●  针对相关认定的重大错报的已识别风险的重大性
          ● 审计证据的客观性和说服性
          ● 剩余期间的持续长度
          ●  控制发生的次数
          ● 控制环境
          ● 监督控制的存在
          ● IT一般控制的有效性
          ● 已识别的控制例外情况
          ● 中期已测试控制的变更
          ● 实质性程序的结果
          ● [PCAOB]控制关联的风险[PCAOB]</t>
  </si>
  <si>
    <t>根据需要添加行</t>
  </si>
  <si>
    <t>根据需要为符号或备注，包括例外描述，添加行</t>
  </si>
  <si>
    <t>额外控制测试细节</t>
  </si>
  <si>
    <t>额外穿行测试</t>
  </si>
  <si>
    <t>所有其他</t>
  </si>
  <si>
    <t>每年</t>
  </si>
  <si>
    <t>适用GAAS：</t>
  </si>
  <si>
    <t>适当访问权限？</t>
  </si>
  <si>
    <t>适当数值？</t>
  </si>
  <si>
    <t>我们的测试程序令我们作出结论认定是否存在控制属性，以及在此依赖期间运行的该控制是否被设计为在认定层面上防止或发现和纠正重大错报。</t>
  </si>
  <si>
    <t>如SCOT表格所记载</t>
  </si>
  <si>
    <t>满足属性，未发现例外情况。</t>
  </si>
  <si>
    <t>财务报表审计</t>
  </si>
  <si>
    <t>重新执行所计算的百分比</t>
  </si>
  <si>
    <t>该控制的执行是否可以中断处理或生成一份例外情况报告？</t>
  </si>
  <si>
    <t>清除验证（点击“+”以展开指引）</t>
  </si>
  <si>
    <t>结论</t>
  </si>
  <si>
    <t>对较高风险的考虑，包括在使用内部审计职能或其他人员时的更为主观的控制（点击“+”以展开指引）</t>
  </si>
  <si>
    <t>确认更新控制测试的风险因素之考虑（点击“+”以展开指引）</t>
  </si>
  <si>
    <t>内容</t>
  </si>
  <si>
    <t>控制</t>
  </si>
  <si>
    <t>控制描述</t>
  </si>
  <si>
    <t>控制类型</t>
  </si>
  <si>
    <t>当前数值</t>
  </si>
  <si>
    <t>测试日期</t>
  </si>
  <si>
    <t>日期/期间</t>
  </si>
  <si>
    <t>描述文档或其他检查的实质证据</t>
  </si>
  <si>
    <t>描述例外情况是否被确认为缺陷以及包括在SOCD中的信息</t>
  </si>
  <si>
    <t>描述我们对例外情况的性质和原因的了解及支持将例外情况评估为随机的说服性证据</t>
  </si>
  <si>
    <t>描述发生越权的情况和与其相关的流程、政策或控制</t>
  </si>
  <si>
    <t>描述所观察的控制程序</t>
  </si>
  <si>
    <t>描述或索引所执行的程序以确认IT应用的多个实例是否有相同的功能（例如，是否有视察程序对象、代码、版本号码以验证该类多个实例有相同功能？）</t>
  </si>
  <si>
    <t>描述所执行的程序以确定系统中的哪些角色授予了修正配置的访问权限，这些配置影响了应用或ITDM控制的功能</t>
  </si>
  <si>
    <t>描述所执行的程序以评价关于应用控制功能的每项设置之适当性</t>
  </si>
  <si>
    <t>描述所执行的程序以评价被授予能力来清除验证编辑的各个用户之适当性</t>
  </si>
  <si>
    <t>描述所执行的程序以评价被授予权限来修改配置的各个用户之适当性，其影响应用或ITDM控制的功能</t>
  </si>
  <si>
    <t>描述所使用的流程来确定系统中的哪些角色获得权限来清除该验证编辑</t>
  </si>
  <si>
    <t>描述所执行的穿行测试程序，包括我们询问的人员以及我们用于确认了解的交易或控制实例</t>
  </si>
  <si>
    <t>描述</t>
  </si>
  <si>
    <t>样本项的描述</t>
  </si>
  <si>
    <t>描述为确定测试总体（是否适当且完整）、样本量以及如何选择样本所执行的程序</t>
  </si>
  <si>
    <t>设计属性</t>
  </si>
  <si>
    <t>确认相同IT应用的多个实例与测试样本有一样的功能</t>
  </si>
  <si>
    <t>我们是否已识别和测试了补偿性控制？</t>
  </si>
  <si>
    <t>基于我们已复核或重新执行的工作，我们是否同意该结论？</t>
  </si>
  <si>
    <t>我们是否有例外情况为随机的说服性证据？</t>
  </si>
  <si>
    <t>你是否要进行？</t>
  </si>
  <si>
    <t>记录确定样本时的任何其他特殊考虑事项</t>
  </si>
  <si>
    <t>记录我们如何扩展我们的样本，以处理该随机的控制例外情况</t>
  </si>
  <si>
    <t>若功能不一样，则记录我们的审计应对措施</t>
  </si>
  <si>
    <t>记录我们针对任何不适当访问权限实例的审计应对措施，包括我们如何考虑权限的监督控制</t>
  </si>
  <si>
    <t>记录我们针对任何不适当访问权限实例的审计应对措施，包括我们如何考虑对使用清除编辑权限的监督控制</t>
  </si>
  <si>
    <t>记录我们针对任何不适当设置的审计应对措施</t>
  </si>
  <si>
    <t>记录我们对确认更新程序的性质、时间和范围的考虑因素</t>
  </si>
  <si>
    <t>记录使用的总体以及为确定总体完整性的程序</t>
  </si>
  <si>
    <t>记录选择样本的方法，包括谁选择了样本</t>
  </si>
  <si>
    <t>在下方记录重新执行的选择以及我们要重新执行的程序，或索引至另一份工作底稿</t>
  </si>
  <si>
    <t>实体名称：</t>
  </si>
  <si>
    <t>评价影响控制功能的配置（点击“+”以展开指引）</t>
  </si>
  <si>
    <t>针对回答为“是”的上述问题，解释我们的审计应对措施</t>
  </si>
  <si>
    <t>控制测试的范围（点击“+”以展开指引）</t>
  </si>
  <si>
    <t>内部审计功能执行的控制测试之范围</t>
  </si>
  <si>
    <t>输入栏</t>
  </si>
  <si>
    <t>针对某个应用控制：例如，交易类型、替代处理、访问限制</t>
  </si>
  <si>
    <t>例如，相关流程是否有重大修改？相关IT系统是否有新或重大的修改？工作角色或责任是否有改动？</t>
  </si>
  <si>
    <t>请参见EY GAM《控制5.3》以获取我们控制测试时间的指引。
若测试在年末以前的某个日期执行，则使用更新测试表来记录我们的更新程序。详见EY GAM《控制9》。</t>
  </si>
  <si>
    <t>频率</t>
  </si>
  <si>
    <t>指引</t>
  </si>
  <si>
    <t>内部审计功能是否使用了适当的测试策略，包括测试适当的控制设计属性？</t>
  </si>
  <si>
    <t>与上次测试相比，控制是否有任何改动？</t>
  </si>
  <si>
    <t>我们是否已将已识别控制缺陷纳入我们的控制缺陷汇总表（SOCD）？</t>
  </si>
  <si>
    <t>识别用于创建屏幕/菜单字段和值列表的证据以支持该测试</t>
  </si>
  <si>
    <t>识别用于创建该角色、用户和职位名称列表的证据</t>
  </si>
  <si>
    <t>识别用于创建该角色、用户和职位名称列表的证据，以支持我们的了解</t>
  </si>
  <si>
    <t>识别支持该测试的证据或索引该测试</t>
  </si>
  <si>
    <t>识别已进行评价的个人以及对该角色访问权限的适当性作出的结论</t>
  </si>
  <si>
    <t>识别控制的关键可配置属性以及设置的适当性</t>
  </si>
  <si>
    <t>若同个应用存在多个实例，需要针对各个范围内实例的应用和ITDM控制进行单独测试。若执行了测试来确认该类实例有共同的功能，在此记录所执行的程序来支持该结论，或添加索引至我们的文档记录。</t>
  </si>
  <si>
    <t>若否，描述原因以及我们所执行的额外独立程序。</t>
  </si>
  <si>
    <t>若否，描述内部审计功能已识别的缺陷与我们有关控制运行有效性的结论不相关的原因</t>
  </si>
  <si>
    <t>若否，解释原因和我们作为应对所执行的追加程序，包括这些程序的结果和/或我们结论的变更</t>
  </si>
  <si>
    <t>如果在生产环境以外的环境执行测试，则引用工作底稿或记录已执行的程序，以验证该环境是否具有与生产环境相同的功能</t>
  </si>
  <si>
    <t>若我们总结某个控制为非有效运行且控制缺陷存在，则我们包括在我们的SOCD中。
[US GAAS] 安永表格 U220控制缺陷汇总表（SOCD）是我们总结已识别的单个和汇总缺陷评价的主要文档记录。</t>
  </si>
  <si>
    <t>若是</t>
  </si>
  <si>
    <t>安永的独立测试</t>
  </si>
  <si>
    <t>关于控制的信息</t>
  </si>
  <si>
    <t>检查的信息</t>
  </si>
  <si>
    <t>执行控制时所使用的实体生成的信息（IPE）</t>
  </si>
  <si>
    <t>所询问（列示所有人员和他们的职衔以更新询问）：</t>
  </si>
  <si>
    <t>询问</t>
  </si>
  <si>
    <t>关于控制执行的询问</t>
  </si>
  <si>
    <t>检查</t>
  </si>
  <si>
    <t>授权检查</t>
  </si>
  <si>
    <t>配置检查</t>
  </si>
  <si>
    <t>实质证据的检查</t>
  </si>
  <si>
    <t>相关文档记录的检查</t>
  </si>
  <si>
    <t>实例</t>
  </si>
  <si>
    <t>财务报表综合审计和财务报告内部控制</t>
  </si>
  <si>
    <t>中期或年末测试？</t>
  </si>
  <si>
    <t>内部审计功能-由于我们的程序与该控制相关，因此内部审计功能的工作是否符合我们对其胜任能力、客观性的最初评估或对系统且严格的方法的应用 ，包括质量控制？</t>
  </si>
  <si>
    <t>内部审计功能-关于其测试结论、控制和我们对其胜任能力和客观性的重新评估或对系统且严格的方法的应用，包括质量控制（点击“+”已展开指引）</t>
  </si>
  <si>
    <t>应用所产生的IPE经常性为ITDM控制所使用-若控制类型为ITDM，在此预设的数值为是。</t>
  </si>
  <si>
    <t>执行控制时是否有使用任何实体生成的信息？</t>
  </si>
  <si>
    <t>控制是否更具风险或主观性？</t>
  </si>
  <si>
    <t>该控制可配置吗？</t>
  </si>
  <si>
    <t>该测试是否在多个实例的IT应用中的单一示例上进行，或用于测试多个实例？</t>
  </si>
  <si>
    <t>IT应用</t>
  </si>
  <si>
    <t>职衔名称</t>
  </si>
  <si>
    <t>列出用于监督越权的控制和流程（包括索引该类控制在哪里被测试）</t>
  </si>
  <si>
    <t>每日多次</t>
  </si>
  <si>
    <t>每周</t>
  </si>
  <si>
    <t>应用或ITDM控制的控制测试性质和时间（请点击“+”以展开指引）</t>
  </si>
  <si>
    <t>项目性质：</t>
  </si>
  <si>
    <t>控制测试性质（请点击“+”以展开指引）</t>
  </si>
  <si>
    <t>更新控制测试的性质（点击”+"以展开指引）</t>
  </si>
  <si>
    <t>剩余期间的更新控制测试程序的性质（顺序：从说服性最低至说服性最强）：
● 询问- 我们对负责执行的个人以及直接监督特定控制的个人（管理层及其他员工）进行询问，并确定是否存在以下任何迹象：
          ● 特定控制的设计或运行发生变更
          ●  职责或授权级别的重新分配
          ● 关键员工、IT系统或IT应用程序的变更
          ●  新IT系统、IT应用程序或政策和程序的引进
          ● 剩余期间内相关账户的任何错误
          ● 可能影响我们对接受测试的控制的持续有效性结论的其他重大变更
●  观察——我们观察剩余期间内执行的控制程序
● 视察——我们检查剩余期间内相关时间准备的实物证据（例如符合该等报告的报告和证据、复核调节以及阅读纪要）。
● 额外的穿行测试——我们针对特定控制或控制组执行额外的穿行测试程序以应对风险因素（如，来自我们的询问、观察或检查的证据，其显示可能存在影响中期获得的审计证据的相关性的重大变更，或影响我们就接受测试的控制的运行有效性结论的重大变更）
● 额外的细节控制测试——我们执行额外的控制测试，以应对上述讨论中识别的风险因素</t>
  </si>
  <si>
    <t>否</t>
  </si>
  <si>
    <t>重新执行的样本数量</t>
  </si>
  <si>
    <t>观察</t>
  </si>
  <si>
    <t>运行中控制的观察</t>
  </si>
  <si>
    <t>更新控制测试后的运行有效性结论</t>
  </si>
  <si>
    <t>中期测试期间的运行有效性结论</t>
  </si>
  <si>
    <t>依赖期间的运行有效性结论</t>
  </si>
  <si>
    <t>运行有效性结论</t>
  </si>
  <si>
    <t>原始控制测试</t>
  </si>
  <si>
    <t>其他</t>
  </si>
  <si>
    <t>我们对内部审计功能的测试性质、时间和范围之评价</t>
  </si>
  <si>
    <t>我们控制测试所涵盖期间：从日期（月/年）</t>
  </si>
  <si>
    <t>我们控制测试所涵盖期间：至日期（月/年）</t>
  </si>
  <si>
    <t>涵盖期间：从日期（月/年）</t>
  </si>
  <si>
    <t>涵盖期间：至日期（月/年）</t>
  </si>
  <si>
    <t>每季度</t>
  </si>
  <si>
    <t>索引至补偿控制的名称</t>
  </si>
  <si>
    <t>索引至工作底稿，或描述支持该结论所执行的程序</t>
  </si>
  <si>
    <t>索引至我们记录如何应对IPE风险的工作底稿</t>
  </si>
  <si>
    <t>索引至我们记录测试栅格和任何测试方法或其他相关的文档记录之工作底稿</t>
  </si>
  <si>
    <t>相关IT应用</t>
  </si>
  <si>
    <t>相关重大交易类别：</t>
  </si>
  <si>
    <t>重新执行控制测试</t>
  </si>
  <si>
    <t>重新执行内部审计功能所执行的控制测试</t>
  </si>
  <si>
    <t>报告名称</t>
  </si>
  <si>
    <t>程序的结果</t>
  </si>
  <si>
    <t>审阅中期财务信息</t>
  </si>
  <si>
    <t>复核或监控控制？</t>
  </si>
  <si>
    <t>角色/资料/组</t>
  </si>
  <si>
    <t>相同功能？</t>
  </si>
  <si>
    <t>样本项#</t>
  </si>
  <si>
    <t>样本量</t>
  </si>
  <si>
    <t>样本量？</t>
  </si>
  <si>
    <t>页面/菜单</t>
  </si>
  <si>
    <t>请选择所有适用项</t>
  </si>
  <si>
    <t>测试环境</t>
  </si>
  <si>
    <t>测试程序</t>
  </si>
  <si>
    <t>测试策略</t>
  </si>
  <si>
    <t>测试策略-使用内部审计功能工作（请点击“+”已展开指引）</t>
  </si>
  <si>
    <t>使用内部审计功能时的测试策略和工作计划</t>
  </si>
  <si>
    <t>控制测试：</t>
  </si>
  <si>
    <t>为用于控制测试，该总体必须完整与适当（EY GAM《样本3.2》）。
当选择样本时，我们采用的抽样方式必须能确保总体中的所有单元项都有同样机会被选上。请参见EY GAM《样本2.4》中对抽样方法（随机、系统性、不规律）的指引。
若控制的描述或频率不明显，则我们描述我们如何确定样本量，例如当样本是基于发生率的一个百分比（即，当该控制的频率为“其它”）。
针对应用控制，请记录汇总IT评价是如何被考虑的。</t>
  </si>
  <si>
    <t>这包括当我们取得内部审计师的直接协助之情况。请参见EY GAM《内部审计2》。</t>
  </si>
  <si>
    <t>标示图</t>
  </si>
  <si>
    <t>控制测试的时间</t>
  </si>
  <si>
    <t>更新控制测试的时间</t>
  </si>
  <si>
    <t>内部审计功能执行控制测试的时间</t>
  </si>
  <si>
    <t>提示和指引</t>
  </si>
  <si>
    <t>已重新执行的控制测试</t>
  </si>
  <si>
    <t>需要重新执行的控制测试</t>
  </si>
  <si>
    <t>需翻译的语言不能为空白。请从下选项中选择一个语言来修改。</t>
  </si>
  <si>
    <t>翻译为：</t>
  </si>
  <si>
    <t>更新控制测试：</t>
  </si>
  <si>
    <t>更新测试程序（顺序：从说服性最低至说服性最强）：</t>
  </si>
  <si>
    <t>用户</t>
  </si>
  <si>
    <t>使用内部审计功能的工作：</t>
  </si>
  <si>
    <t>工作底稿索引</t>
  </si>
  <si>
    <t>我们可在内部审计功能编制的工作底稿上直接记录我们的程序，并将其保存为我们审计文档记录的一部分。</t>
  </si>
  <si>
    <t>当选择样本时，我们采用的抽样方式必须能确保总体中的所有单元项都有同样机会被选上。请参见EY GAM《样本2.4》中对抽样方法（随机、系统性、不规律）的指引。
若控制的描述或频率不明显，则我们描述我们如何确定样本量，例如当样本是基于发生率的一个百分比（即，当该控制的频率为“其它”）。</t>
  </si>
  <si>
    <t>我们使用另外的工作底稿来记录我们如何应对ITDM控制中的自动化部分的相关IPE风险。</t>
  </si>
  <si>
    <t>是否在更新的控制测试过程中发现例外情况？</t>
  </si>
  <si>
    <t>是否在测试过程中发现例外情况？</t>
  </si>
  <si>
    <t>是否有迹象表明舞弊活动、错误或较大的管理层越权可能性？</t>
  </si>
  <si>
    <t>内部审计功能达到了什么运行有效性结论？</t>
  </si>
  <si>
    <t>工作底稿索引：</t>
  </si>
  <si>
    <t>中期测试时的工作底稿索引</t>
  </si>
  <si>
    <t>SCOT表格的工作底稿索引</t>
  </si>
  <si>
    <t>年末日期：</t>
  </si>
  <si>
    <t>是</t>
  </si>
  <si>
    <t>有效</t>
  </si>
  <si>
    <t>无效</t>
  </si>
  <si>
    <t>中期报表审阅</t>
  </si>
  <si>
    <t>依赖IT的手工控制</t>
  </si>
  <si>
    <t>手工发现</t>
  </si>
  <si>
    <t>手工防止</t>
  </si>
  <si>
    <t>每日</t>
  </si>
  <si>
    <t>每月</t>
  </si>
  <si>
    <t>中期</t>
  </si>
  <si>
    <t>年末</t>
  </si>
  <si>
    <t>生产</t>
  </si>
  <si>
    <t>QA/测试</t>
  </si>
  <si>
    <t>(формула, не редактировать)</t>
  </si>
  <si>
    <t>[Общепринятые стандарты аудита США] Рассмотрение нами вопроса об использовании результатов работы службы внутреннего аудита также включает рассмотрение вопроса об использовании результатов работы других лиц.</t>
  </si>
  <si>
    <t xml:space="preserve">●  См. раздел ВЫБОРКА 3.3, ЭЯ ГАМ, где указаны минимальные объемы выборки, которые определяются исходя из характера средства контроля и периодичности его выполнения.
●  Минимальный объем выборки для определенного средства контроля определяется исходя из ситуаций, когда мы тестируем несколько средств контроля, относящихся к соответствующим предпосылкам, и мы полагаем, что не обнаружим отклонений в функционировании средства контроля. 
●  Если мы планируем тестировать только один контроль, связанный с соответствующей предпосылкой, мы получаем большую уверенность в отношении данного одного контроля, поскольку мы в большей степени на него полагаемся. Поэтому мы делаем больший объем выборки, чем минимальный. См. ЭЯ ГАМ ВЫБОРКА 3.3.
●  Мы учитываем факторы, изложенные в разделе ЭЯ ГАМ ВЫБОРКА 3.4, для определения того, требуется ли нам больше аудиторских доказательств операционной эффективности средства контроля, и вследствие этого увеличиваем объем выборки сверх минимального.
● [ПСАОБ] При определении объема тестирования мы учитываем риски, связанные со средством контроля:
При наличии более высокой степени риска, связанного со средством контроля, нам требуется более убедительное доказательство. Риск, связанный со средством контроля, включает в себя риск того, что средство контроля может быть неэффективным, а также, если средство контроля неэффективно, риск существенного искажения или существенного слабости системы внутреннего контроля (для интегрированного аудита). При определении необходимого объема доказательств мы также учитываем значимость средства контроля для нашей стратегии аудита. При наличии более высокой степени риска, связанного со средством контроля, или более высокой значимости средства контроля для нашей стратегии аудита требуется больше доказательств. При изменении характера и (или) объема нашего тестирования может быть получено больше доказательств.
При повышении уровня риска, связанного со средством контроля, мы можем увеличить объем выборки для получения дополнительного доказательства, равно как и уменьшить объем выборки при уменьшении уровня такого риска.  [ПСАОБ] </t>
  </si>
  <si>
    <t>●  Мы разрабатываем тесты для средств контроля таким образом, чтобы они помимо запросов включали другие процедуры для получения аудиторских доказательств операционной эффективности средств контроля. Информация, полученная в результате направления запросов, сама по себе не является достаточным основанием для формирования заключения об эффективности средства контроля.
●  Процедуры, выполняемые нами для тестирования операционной эффективности, включают запросы, наблюдения, проверку и повторное проведение тестирования;
●  Мы получаем более убедительные доказательства, тем самым мы можем в большей степени полагаться на средства контроля;
●  Мы каждый год меняем характер, сроки и объемы тестирования для внесения элемента непредсказуемости и отражения изменений в обстоятельствах.  
●  При разработке тестов для средств контроля мы оцениваем актуальность и надежность информации, которую мы планируем получить в качестве аудиторских доказательств;  
● Ниже представлены примеры процедур, которые мы можем выполнить для получения доказательства и тестирования на предмет точности средства контроля, связанного с обзорной проверкой:
         ● направление запросов лицу, ответственному за средство контроля, и лицу, осуществляющему проверку;
         ● направление дополнительных запросов прочим лицам;
         ● проверка доказательства выполнения последующих процедур (например, переписки по электронной почте), если таковые имеются
         ● подтверждение того, что степень чувствительности средства контроля достаточна для обнаружения существенного искажения данных на уровне предпосылок, как по отдельности, так и в совокупности с прочими соответствующими средствами контроля;
         ● соблюдение сроков решения вопросов,связанных с невыверенными расхождениями или ошибками, или исправления таких расхождений или ошибок;
         ● проверка доказательств применительно к тем проанализированным аспектам и поднятым вопросам, в результате которых были инициированы последующие процедуры;
         ● проверка проектов документов, а также позиций, подтверждающих использование средства контроля;
         ● повторное выполнение соответствующих процедур контроля, которые изначально проводились в рамках средств контроля, связанного с проверкой;
●  [ПСАОБ] при определении характера тестирования мы учитываем риски, связанные со средством контроля. [ПСАОБ]
● [ПСАОБ] при наличии более высокой степени риска, связанного со средством контроля, нам нужны более убедительные доказательства. Риск, связанный со средством контроля, включает в себя риск того, что средство контроля может быть неэффективным, а также, если средство контроля неэффективно, риск существенного искажения или существенного слабости системы внутреннего контроля (для интегрированного аудита). При определении необходимого объема доказательств мы также учитываем значимость средства контроля для нашей стратегии аудита. При наличии более высокой степени риска, связанного со средством контроля, или более высокой значимости средства контроля для нашей стратегии аудита требуется больше доказательств. При изменении характера и (или) объема нашего тестирования может быть получено больше доказательств. [ПСАОБ]
●  [ПСАОБ] при наличии более высокой степени риска, связанного со средством контроля, мы объединим методики тестирования (например, предусмотрим повторное выполнение контроля в дополнение к процедурам направления запросов или наблюдения) или используем методики, которые способствуют получению более убедительных доказательств. [ПСАОБ]
●  См. ЭЯ ГАМ КОНТРОЛИ 5.2</t>
  </si>
  <si>
    <t>● Автоматизированные средства контроля могут включать тестирование данных, которое происходит при инициации или обработке операции. Такое тестирование приводит к остановке в обработке, чтобы уведомить пользователя о потенциальной проблеме с информацией. Определенные правки останавливают обработку или ввод до устранения условия путем обновления одного или более сегментов информации или до принятия разницы сотрудником со специальными правами доступа (и обязанностями) для разрешения на продолжение обработки или ввода. Другие правки могут быть урегулированы пользователем ИТ-приложения, подтверждающего информацию или условие без изменения информации. Мы понимаем, какой итог был у теста, который является частью автоматизированного контроля, чтобы определить полезность средства контроля для снижения риска возможной ошибки. Обычно, тестирование, которое требует корректировки данных или одобрения второго уровня, является более сильным контролем, чем правки, о которых пользователь только уведомляется.</t>
  </si>
  <si>
    <t>● Инспектирование авторизации: Когда контроль осуществляется пользователем, являющимся частью бизнес-процесса, мы оцениваем, насколько привилегированные права, данные пользователям приложения, соизмеримы с должностными обязанностями пользователей и обеспечивают надлежащее разделение полномочий. 
● Инспектирование конфигурации: конфигурация системы определяет порядок обработки операции (например, система будет блокировать счет, если отклонение в цене приобретения превышает пороговое значение, предусмотренное конфигурацией). Получить информацию о текущей конфигурации можно либо через экран приложения, либо из отчета.
● Повторное проведение в отношении каждого типа операции и варианта обработки: мы проводим тестирование на предмет определения порядка обработки той или иной операция в зависимости от программирования или конфигурации приложения. По результатам повторного выполнения устанавливается, что прикладное средство контроля функционирует в соответствии с программированием или конфигурацией приложения. Если ОКИС для приложения были оценены как "Поддерживают", мы проводим один тест с повторным выполнением контролей для каждого варианта обработки. Если ОКИС оценены как "Не поддерживают", мы проводим более одного случая повторного выполнения из всего аудируемого периода. 
См. ЭЯ ГАМ КОНТРОЛИ 5.2б</t>
  </si>
  <si>
    <t>● Неконфигурируемые - неконфигурируемые средства контроля запрограммированы таким образом, что средство контроля активируется либо через пользовательский код либо за счет функциональности пакетного программного обеспечения. Мы проводим тестирование в отношении каждого типа операции и варианта обработки для того, чтобы определить, что средство контроля является эффективным.
● Конфигурируемые - функционирование конфигурируемых прикладных средств контроля зависит от настроек приложения. С учетом специальных настроек системы конфигурируемые средства контроля могут функционировать по-разному применительно к различным категориям операций в рамках одного и того же приложения. В ходе сквозной проверки мы проверяем авторизацию и (или) проводим тестирование конфигурации в отношении каждого типа операции и варианта обработки для того, чтобы определить, что конфигурация средства контроля соответствует решениям руководства.</t>
  </si>
  <si>
    <t>● Партнер, ответственный за аудит, и лицо, проводящее проверку качества выполнения задания, утверждают планируемое использование результатов работы службы внутреннего аудита или других служб в областях с повышенным уровнем риска существенного искажения, либо в областях, которые характеризуются более высокой степенью субъективности. Мы отражаем планируемое использование результатов работы службы внутреннего аудита в указанных областях в Меморандуме по стратегии аудита.  См. ЭЯ ГАМ ВНУТРЕННИЙ АУДИТ 1.2.2б
● С учетом повышения уровня риска существенного искажения или степени субъективности применительно к той или иной области, где мы планируем использовать результаты работы службы внутреннего аудита или иных лиц, мы включаем в свою документацию обоснование для использования результатов работы службы внутреннего аудита или иных лиц в такой области, а также увеличиваем объем повторного выполнения, и (или) степень контроля и проверки в данных областях. 
          Такие области включают:
          ● области, характеризующиеся более высоким уровнем неотъемлемых рисков или риском недобросовестных действий;
          ● области, где в текущем или предыдущих периодах были выявлены существенные недостатки или существенная слабость системы внутреннего контроля;
          ● процедуры по принятию мер в отношении риска недобросовестных действий (например, тестирование бухгалтерских проводок);
          ● средства контроля корпоративного уровня (в том числе средства контроля на уровне группы).</t>
  </si>
  <si>
    <t xml:space="preserve">● В ходе аудита мы пересматриваем свою предварительную оценку компетентности и объективности службы внутреннего аудита, что включает оценку системного и упорядоченного подхода, в том числе контроль качества. Кроме того, исходя из результатов контроля и проверок с нашей стороны и повторного выполнения работы службы мы еще раз оцениваем, является ли достаточным для использования запланированный объем данных, полученных в результате работы службы внутреннего аудита.
 [Общепринятые стандарты аудита США] Рассмотрение нами вопроса об использовании результатов работы службы внутреннего аудита также включает рассмотрение вопроса об использовании результатов работы иных лиц. Мы документально отражаем степень участия внутренних аудиторов и иных лиц в форме "Использование результатов работы внутренних аудиторов или других лиц". [Общепринятые стандарты аудита США] </t>
  </si>
  <si>
    <t>● При проведении нами тестирования средств контроля в промежуточный период и формировании вывода о том, что мы можем полагаться на средства контроля, мы:
    • Получаем аудиторские доказательства о существенных изменениях в тех средствах контроля, которые будут использоваться после промежуточного периода;
    • Определяем дополнительные аудиторские доказательства, которые должны быть получены в отношении оставшегося периода;
    • Проводим в соответствующей последовательности следующие мероприятия: направляем запросы, осуществляем наблюдения, проводим дополнительные сквозные проверки и дополнительное тестирование средств контроля.
При тестировании средств контроля более чем за шесть месяцев до отчетной даты, мы проводим дополнительные сквозные проверки или тестирование средств контроля в дополнение к запросам, наблюдению и инспектированию для обновления нашего понимания . См. ЭЯ ГАМ КОНТРОЛИ 9.
Характер и объем процедур, направленных на обновление данных по средствам контроля, должны определяться с учетом риска того, что средства контроля более не являются эффективными для использования в течение оставшегося периода. Примеры таких факторов риска приведены в разделе ЭЯ ГАМ КОНТРОЛИ 9.
● [ПСАОБ - интегрированные аудиты] В рамках интегрированного аудита мы, как правило, осуществляем дополнительное тестирование или проводим такое тестирование (т.е. направляем запросы, осуществляем наблюдения и инспектирование) на более глубоком уровне в отличие от дополнительного тестирования в рамках аудита финансовой отчетности. Данные меры необходимы для актуализации результатов оценки указанных средств контроля с момента проведения промежуточных процедур до конца периода, поскольку нам необходимо обосновать заключение по системе внутреннего контроля за подготовкой финансовой отчетности по состоянию на конец года. [ПСАОБ - интегрированные аудиты] 
● Мы учитываем следующие факторы риска при определении того, какие дополнительные аудиторские доказательства нам необходимо получить по средствам контроля, протестированным нами в промежуточном периоде:
          ● значимость выявленных рисков существенного искажения на уровне соответствующих предпосылок;
          ● объективность и убедительность аудиторского доказательства;
          ● продолжительность оставшегося периода;
          ● количество протестированных случаев средства контроля;
          ● контрольная среда;
          ● наличие мониторинговых средств контроля;
          ● эффективность общих средств контроля за информационной системой;
          ● выявленные отклонения в системе контроля;
          ● изменения в средствах контроля, протестированных в промежуточный период;
          ● результаты выполнения процедур проверки по существу;
          ● [ПСАОБ] риски, связанные со средствами контроля [ПСАОБ]</t>
  </si>
  <si>
    <t>добавьте строки по мере необходимости</t>
  </si>
  <si>
    <t>добавьте по мере необходимости строки для обозначений или примечаний, в том числе для описания отклонений</t>
  </si>
  <si>
    <t>Дополнительное тестирование средств контроля на детальном уровне</t>
  </si>
  <si>
    <t>Дополнительные сквозные проверки</t>
  </si>
  <si>
    <t>Все прочие</t>
  </si>
  <si>
    <t>Ежегодно</t>
  </si>
  <si>
    <t>Применимые Общепринятые стандарты аудита:</t>
  </si>
  <si>
    <t>Доступ правомерен?</t>
  </si>
  <si>
    <t>Значение верно?</t>
  </si>
  <si>
    <t>В результате процедур тестирования мы делаем вывод, насколько параметры средства контроля присутствуют, и функционировал ли контроль в течение всего периода, когда мы него полагаемся, в соответствии с его разработкой для предотвращения или обнаружения и исправления существенных искажений на уровне предпосылки.</t>
  </si>
  <si>
    <t>Как документально отражено в форме СКО</t>
  </si>
  <si>
    <t>Параметр удовлетворяет всем требованиям, отклонений нет</t>
  </si>
  <si>
    <t>Аудит финансовой отчетности</t>
  </si>
  <si>
    <t>Объем повторного выполнения (в процентном выражении)</t>
  </si>
  <si>
    <t>Может ли выполнение контроля остановить обработку или создать отчет об отклонениях?</t>
  </si>
  <si>
    <t>Решение проблем при остановке для валидации (нажмите "+", чтобы развернуть таблицу, где представлен раздел с руководством)</t>
  </si>
  <si>
    <t>Вывод</t>
  </si>
  <si>
    <t>Рассмотрение средств контроля, сопряженных с более высоким уровнем риска, в том числе основанных в значительной степени на субъективном суждении, при использовании результатов работы службы внутреннего аудита или иных лиц (нажмите "+", чтобы развернуть таблицу, где представлен раздел с руководством)</t>
  </si>
  <si>
    <t>Анализ факторов риска для определения процедур обновления тестирования средств контроля (нажмите "+", чтобы развернуть таблицу, где представлен раздел с руководством)</t>
  </si>
  <si>
    <t>Содержание</t>
  </si>
  <si>
    <t xml:space="preserve">Средство Контроля </t>
  </si>
  <si>
    <t>Описание средства контроля</t>
  </si>
  <si>
    <t>Вид средства контроля</t>
  </si>
  <si>
    <t>Текущее значение</t>
  </si>
  <si>
    <t>Ежедневно</t>
  </si>
  <si>
    <t>Дата проведения тестирования</t>
  </si>
  <si>
    <t>Дата/период</t>
  </si>
  <si>
    <t>Опишите документы или иные визуальные доказательства, в отношении которых проводилась проверка</t>
  </si>
  <si>
    <t>Определите, являются ли отклонения недостатком, а также то, какая информация должна быть включена в Перечень недостатков в системе внутреннего контроля (ПНВК)</t>
  </si>
  <si>
    <t>Опишите наше понимание характера отклонений и причин их возникновения, а также предоставьте убедительное доказательство для обоснования оценки того, что отклонение не носит системный характер</t>
  </si>
  <si>
    <t>Опишите обстоятельства, при которых произошел случай обхода контроля, а также какие-либо процессы, политику или средства контроля, которые относятся к обходу</t>
  </si>
  <si>
    <t>Опишите контрольные процедуры, в отношении которых проводилось наблюдение</t>
  </si>
  <si>
    <t>Опишите или приведите ссылку на процедуры, которые были выполнены для определения того, имеют ли несколько копий приложения одинаковую функциональность (Например, были ли проверены программные объекты, код, номер версии для подтверждения того, что несколько копий имеют одинаковую функциональность?)</t>
  </si>
  <si>
    <t>Опишите процедуры, выполняемые для определения того, какой статус пользователей в системе позволяет вносить в конфигурации изменения, влияющие на функциональность прикладного или ИТ-зависимого ручного средства контроля</t>
  </si>
  <si>
    <t>Опишите процедуры, выполняемые для оценки обоснованности каждой настройки в отношении функционирования прикладных средств контроля</t>
  </si>
  <si>
    <t>Опишите процедуры, которые были выполнены для оценки целесообразности присвоения каждому пользователю статуса, позволяющего разрешать корректировки при валидации</t>
  </si>
  <si>
    <t>Опишите процедуры, которые были выполнены для оценки целесообразности присвоения каждому пользователю статуса, позволяющего вносить в конфигурации изменения, влияющие на функциональность прикладного или ИТ-зависимого ручного средства контроля</t>
  </si>
  <si>
    <t>Опишите процесс, с помощью которого можно определить статус пользователей в системе, позволяющий разрешать корректировки при валидации</t>
  </si>
  <si>
    <t>Опишите выполненные процедуры сквозной проверки, в том числе укажите лиц, которым были направлены запросы, а также информацию по операциям или средства контроля, которые мы использовали для подтверждения нашего понимания</t>
  </si>
  <si>
    <t>Описание</t>
  </si>
  <si>
    <t>Описание элемента выборки</t>
  </si>
  <si>
    <t>Описание процедур, выполненных для определения совокупности данных для выборки (с точки зрения целесообразности и полноты), объема выборки и того, как осуществлялась выборка</t>
  </si>
  <si>
    <t>Параметры разработки</t>
  </si>
  <si>
    <t>Убедитесь в том, что функциональность копий одного ИТ-приложения аналогична функциональности образца для тестирования</t>
  </si>
  <si>
    <t>Были ли нами выявлены и протестированы компенсирующие средства контроля?</t>
  </si>
  <si>
    <t>Вы согласны с данным выводом с учетом той работы, которую мы проверили или выполнили повторно?</t>
  </si>
  <si>
    <t>Имеется ли у нас убедительное доказательство того, что отклонения не носят системный характер?</t>
  </si>
  <si>
    <t>Продолжить?</t>
  </si>
  <si>
    <t>Задокументируйте иные особенности определения выборки</t>
  </si>
  <si>
    <t>Задокументируйте, каким образом был увеличен объем выборки для решения вопроса, связанного с несистемными отклонениями в средствах контроля</t>
  </si>
  <si>
    <t>Задокументируйте наши аудиторские меры, если функциональность не является одинаковой</t>
  </si>
  <si>
    <t>Задокументируйте меры, предлагаемые аудиторами в случаях выявления нецелесообразного предоставления доступа, включая результаты анализа средств контроля доступа</t>
  </si>
  <si>
    <t>Задокументируйте меры, предлагаемые аудиторами в случаях выявления нецелесообразного предоставления доступа, включая результаты анализа средств контроля за использованием доступа к разрешению корректировок</t>
  </si>
  <si>
    <t>Задокументируйте меры, предлагаемые аудиторами в случаях выявления неправомерных настроек</t>
  </si>
  <si>
    <t>Задокументируйте, каким образом учитываются факторы риска при определении характера, сроков и объема процедур для обновления результатов:</t>
  </si>
  <si>
    <t>Задокументируйте совокупность данных, а также процедуры для определения полноты указанных данных</t>
  </si>
  <si>
    <t>Задокументируйте метод выборки, а также укажите лицо, проводившее выборку</t>
  </si>
  <si>
    <t>Отразите в документации выборки и наши процедуры для повторного проведения тестирования или предоставьте ссылку на иные рабочие бумаги</t>
  </si>
  <si>
    <t>Наименование компании:</t>
  </si>
  <si>
    <t>Оцените конфигурации, которые влияют на функциональность средства контроля (нажмите "+", чтобы развернуть таблицу, где представлен раздел с руководством)</t>
  </si>
  <si>
    <t>Разъясните предпринятые нами аудиторские меры по каждой ситуации, где был дан утвердительный ответ.</t>
  </si>
  <si>
    <t>Объем тестирования средств контроля (нажмите "+", чтобы развернуть таблицу, где представлен раздел с руководством)</t>
  </si>
  <si>
    <t>Объем тестирования средств контроля, выполненного службой внутреннего аудита</t>
  </si>
  <si>
    <t>Поле</t>
  </si>
  <si>
    <t>Для прикладного контроля: например, тип операции, вариант обработки, ограничения доступа</t>
  </si>
  <si>
    <t>Например, были ли произведены существенные изменения в связанные процессы? Были ли введены новые или сделаны существенные изменения в существующих связанных ИТ-системах? Были ли произведены какие-либо изменения в должностных функциях или обязанностях?</t>
  </si>
  <si>
    <t>См. руководство относительно времени нашего тестирования средств контроля в ЭЯ ГАМ КОНТРОЛИ 5.3.  
Если тестирование проводилось до даты окончания предыдущего года, используйте вкладку тестирование для обновления, чтобы задокументировать наши процедуры обновления. См. ЭЯ ГАМ КОНТРОЛИ 9.</t>
  </si>
  <si>
    <t>Периодичность</t>
  </si>
  <si>
    <t>Руководство</t>
  </si>
  <si>
    <t>Использовала ли служба внутреннего аудита надлежащую стратегию тестирования, в том числе при тестировании соответствующих параметров разработки средства контроля?</t>
  </si>
  <si>
    <t>Были ли внесены какие-либо изменения в средство контроля с момента последнего тестирования?</t>
  </si>
  <si>
    <t>Включили ли мы выявленные недостатки средств контроля в перечень недостатков в системе внутреннего контроля (ПНВК)?</t>
  </si>
  <si>
    <t>Приведите доказательства, использованные при создании перечня экранов/меню, полей и значений, которые подтверждают результаты тестирования</t>
  </si>
  <si>
    <t>Приведите доказательства, использованные при создании данного перечня статусов, пользователей и должностей</t>
  </si>
  <si>
    <t>Приведите доказательства, использованные при создании данного перечня статусов, пользователей и должностей, которые подтверждают наше понимание</t>
  </si>
  <si>
    <t>Приведите доказательства, подтверждающие результаты тестирования или приведите ссылку на тестирование</t>
  </si>
  <si>
    <t>Укажите лиц, в отношении которых была выполнена оценка, а также предоставьте вывод о целесообразности присвоения им указанного статуса</t>
  </si>
  <si>
    <t>Определите ключевые конфигурируемые параметры средства контроля, а также обоснованность настроек</t>
  </si>
  <si>
    <t>Если используется несколько копий одного и то же приложения, в отношении каждой из них, если она включена в объем работ, должно проводиться отдельное тестирование прикладных и ИТ-зависимых ручных средств контроля. Если тестирование проводилось с целью подтверждения того, что функциональность указанных копий одинакова, задокументируйте выполненные процедуры, обосновывающие указанное заключение, или добавьте ссылку на нашу документацию.</t>
  </si>
  <si>
    <t>Если нет, укажите причину, а также опишите дополнительные независимые процедуры, которые мы выполнили</t>
  </si>
  <si>
    <t>Если нет, укажите причину, по которой недостатки, выявленные службой внутреннего аудита, были не актуальны для нашего заключения об операционной эффективности средств контроля</t>
  </si>
  <si>
    <t>Если нет, объясните причину и укажите, какие мы выполнили в связи с этим дополнительные процедуры, а также представьте результаты данных процедур и (или) изменения в нашем выводе</t>
  </si>
  <si>
    <t>Если тестирование проводится в среде, отличной от рабочей, предоставьте ссылку на рабочие бумаги или задокументируйте процедуры, выполненные для того, чтобы подтвердить, что функциональность данной среды аналогична функциональности рабочей среды</t>
  </si>
  <si>
    <t>Если мы делаем вывод, что средство контроля не функционирует эффективно, и существует недостаток внутреннего контроля, мы включаем его в наш ПНВК.
[Общепринятые стандарты аудита США] Форма ЭЯ Ю220 Перечень недостатков системы внутреннего контроля (ПНВК) служит основным средством документации наших выводов в отношении оценки выявленных недостатков как по отдельности, так и в совокупности.</t>
  </si>
  <si>
    <t>Если ответ "да"</t>
  </si>
  <si>
    <t>Независимое тестирование, выполненное специалистами ЭЯ</t>
  </si>
  <si>
    <t>Информация о средствах контроля</t>
  </si>
  <si>
    <t>Информация, прошедшая проверку</t>
  </si>
  <si>
    <t>Информация, созданная компанией, применяемая при выполнении контроля</t>
  </si>
  <si>
    <t>Лица, которым были направлены запросы (перечень сотрудников с указанием должностей, которым необходимо направить запросы для обновления результатов):</t>
  </si>
  <si>
    <t>Запрос</t>
  </si>
  <si>
    <t>Запрос, касающийся использования средства контроля</t>
  </si>
  <si>
    <t>Инспектирование</t>
  </si>
  <si>
    <t>Инспектирование авторизации</t>
  </si>
  <si>
    <t>Инспектирование конфигурации</t>
  </si>
  <si>
    <t>Инспектирование визуальных доказательств</t>
  </si>
  <si>
    <t>Инспектирование соответствующей документации</t>
  </si>
  <si>
    <t>Копия</t>
  </si>
  <si>
    <t>Интегрированный аудит финансовой отчетности и системы внутреннего контроля за подготовкой финансовой отчетности</t>
  </si>
  <si>
    <t>Тестирование проводилось за промежуточный период или на конец года?</t>
  </si>
  <si>
    <t>Служба внутреннего аудита: по результатам наших процедур в отношении средств контроля укажите, соответствовала ли работа службы внутреннего аудита нашей первоначальной оценке компетентности и объективности группы или использования системного и упорядоченного подхода, в том числе контроля качества?</t>
  </si>
  <si>
    <t>Служба внутреннего аудита: заключение о проведенном данной службой тестировании и средствах контроля, наша повторная оценка компетентности и объективности службы или использования системного и упорядоченного подхода, включая контроль качества (нажмите "+", чтобы развернуть таблицу, где представлен раздел с руководством)</t>
  </si>
  <si>
    <t>ИСК, созданная приложением, всегда используется в ИТ-зависимом ручном контроле - если тип контроля ИТ-зависимый ручной, "да" заполняется автоматически.</t>
  </si>
  <si>
    <t>Применяется ли при использовании данного средства контроля информация, созданная компанией?</t>
  </si>
  <si>
    <t>Сопряжено ли средство контроля с более высоким уровнем риска или основано ли в значительной степени на субъективном суждении?</t>
  </si>
  <si>
    <t>Средство контроля может быть сконфигурировано?</t>
  </si>
  <si>
    <t>Проводится ли данное тестирование в отношении одной копии ИТ-приложения, имеющего несколько копий, и предназначено ли данное тестирование для тестирования нескольких копий?</t>
  </si>
  <si>
    <t>Программное приложение</t>
  </si>
  <si>
    <t>Средство контроля ИТ-приложений</t>
  </si>
  <si>
    <t>ИТ-зависимое ручное средство контроля</t>
  </si>
  <si>
    <t>Должность</t>
  </si>
  <si>
    <t>Перечислите средства контроля и процессы для мониторинга обхода контроля (в том числе предоставьте ссылку на документацию, где представлены результаты тестирования данных средств контроля)</t>
  </si>
  <si>
    <t>Обнаружение ошибок в ручном режиме</t>
  </si>
  <si>
    <t>Предотвращение возникновения ошибок в ручном режиме</t>
  </si>
  <si>
    <t>Многократно в течение дня</t>
  </si>
  <si>
    <t>Ежемесячно</t>
  </si>
  <si>
    <t>Характер и сроки тестирования прикладных или ИТ-зависимых ручных средств контроля (нажмите "+", чтобы развернуть таблицу, где представлен раздел с руководством)</t>
  </si>
  <si>
    <t>Тип аудиторского задания:</t>
  </si>
  <si>
    <t>Характер тестирования средств контроля (нажмите "+", чтобы развернуть таблицу, где представлен раздел с руководством)</t>
  </si>
  <si>
    <t>Характер обновления тестирования средств контроля (нажмите "+", чтобы развернуть таблицу, где представлен раздел с руководством)</t>
  </si>
  <si>
    <t xml:space="preserve">Характер обновления тестирования средств контроля, осуществляемого в течение оставшегося периода (в порядке от наименее убедительного до наиболее убедительного):
● Запрос – мы направляем запросы лицам, которые используют специальные средства контроля, и лицам, которые непосредственно осуществляют их проверку (руководству и прочим работникам), и определяем, имеются ли признаки следующего:
          ● изменения в структуре или функционировании определенного средства контроля;
          ● перераспределение обязанностей или полномочий;
          ● изменения в составе ключевого персонала, в ИТ-системах или ИТ-приложениях;
          ● введение новых ИТ-систем, ИТ-приложений, либо политики и процедур;
          ● какие-либо ошибки в соответствующих счетах в оставшемся периоде;
          ● прочие существенные изменения, которые могут повлиять на заключение об эффективности дальнейшего использования протестированных средств контроля.
● Наблюдение – мы осуществляем наблюдение за проведением процедур контроля в течение оставшегося периода
● Инспектирование – мы проводим проверку визуальных доказательств (например, отчетов, а также доказательств того, что данные отчеты прошли проверку, путем обзора сверок, ознакомления с протоколами), подготовленных в тот или иной момент в течение оставшегося периода.
● Дополнительные сквозные проверки – мы проводим дополнительные сквозные проверки в отношении определенных средств контроля или групп средств контроля для принятия соответствующих мер в отношении факторов риска (например, доказательство, полученное в результате запроса, наблюдения или инспектирования, указывает на наличие существенных изменений, которые могут повлиять на применимость аудиторского доказательства, полученного в промежуточный период, или на наше заключение об операционной эффективности протестированных средств контроля).
● Дополнительное тестирование средств контроля на детальном уровне – мы проводим дополнительное тестирование средств контроля для принятия соответствующих мер в отношении факторов риска, как указано выше </t>
  </si>
  <si>
    <t>Нет</t>
  </si>
  <si>
    <t>Количество выборок для повторного выполнения</t>
  </si>
  <si>
    <t>Наблюдение</t>
  </si>
  <si>
    <t>Наблюдение за используемым средством контроля</t>
  </si>
  <si>
    <t>в пределах нормы</t>
  </si>
  <si>
    <t>Вывод об операционной эффективности после обновления результатов тестирования средств контроля:</t>
  </si>
  <si>
    <t>Вывод об операционной эффективности на дату тестирования в промежуточном периоде</t>
  </si>
  <si>
    <t>Вывод об операционной эффективности за период, в течение которого мы полагаемся на средство контроля</t>
  </si>
  <si>
    <t>Вывод об эффективности функционирования средств контроля:</t>
  </si>
  <si>
    <t>Тестирование средств контроля, которое проводилось изначально</t>
  </si>
  <si>
    <t>Прочее</t>
  </si>
  <si>
    <t>Наша оценка характера, сроков и объема тестирования, выполненного службой внутреннего аудита</t>
  </si>
  <si>
    <t>Период, за который проводилось тестирование средства контроля: с (мм/гггг)</t>
  </si>
  <si>
    <t>Период, за который проводилось тестирование средства контроля: по (мм/гггг)</t>
  </si>
  <si>
    <t>Рассматриваемый период: с (мм/гггг)</t>
  </si>
  <si>
    <t>Рассматриваемый период: по (мм/гггг)</t>
  </si>
  <si>
    <t>Ежеквартально</t>
  </si>
  <si>
    <t>Укажите наименования(-е) компенсирующих(-его) средств(а) контроля</t>
  </si>
  <si>
    <t>Предоставьте ссылку на рабочие бумаги или опишите процедуры, выполняемые для обоснования данного вывода</t>
  </si>
  <si>
    <t>Предоставьте ссылку на рабочие бумаги, где задокументированы методы решения вопросов по рискам, связанным с ИСК</t>
  </si>
  <si>
    <t>Предоставьте ссылку на рабочие бумаги, в которые мы включили матрицу(-ы) тестирования и программу тестирования, или иную соответствующую документацию</t>
  </si>
  <si>
    <t>Соответствующие ИТ-приложения</t>
  </si>
  <si>
    <t>Соответствующий СКО:</t>
  </si>
  <si>
    <t>Повторное выполнение средства контроля</t>
  </si>
  <si>
    <t>Повторное проведение работ, выполненных службой внутреннего аудита</t>
  </si>
  <si>
    <t>Повторное проведение тестирования средств контроля, выполненного службой внутреннего аудита</t>
  </si>
  <si>
    <t>Наименование отчета</t>
  </si>
  <si>
    <t>Результат процедур</t>
  </si>
  <si>
    <t>Обзорная проверка промежуточной финансовой информации</t>
  </si>
  <si>
    <t>Проверка программы тестирования и результатов работы службы внутреннего аудита</t>
  </si>
  <si>
    <t>Статус/профиль/группа</t>
  </si>
  <si>
    <t>Функциональность одинаковая?</t>
  </si>
  <si>
    <t>№ элемента выборки</t>
  </si>
  <si>
    <t>Объем выборки</t>
  </si>
  <si>
    <t>Объем выборки?</t>
  </si>
  <si>
    <t>Экран/меню</t>
  </si>
  <si>
    <t>Выберите все подходящие варианты ответа</t>
  </si>
  <si>
    <t>Подлежит уточнению</t>
  </si>
  <si>
    <t>Тестовая среда</t>
  </si>
  <si>
    <t>Процедуры тестирования</t>
  </si>
  <si>
    <t>Стратегия тестирования</t>
  </si>
  <si>
    <t>Стратегия тестирования - использование результатов работы службы внутреннего аудита  (нажмите "+", чтобы развернуть таблицу, где представлен раздел с руководством)</t>
  </si>
  <si>
    <t>Стратегия тестирования и план работ при использовании результатов работы службы внутреннего аудита</t>
  </si>
  <si>
    <t>Тестирование средства контроля:</t>
  </si>
  <si>
    <t>Совокупность должна быть полной и надлежащей для нашего тестирования контролей, ЭЯ ГАМ ВЫБОРКА 3.2
Мы выбираем позиции для выборки таким образом, чтобы каждый элемент в совокупности имел возможность быть выбранным. См. руководство в ЭЯ ГАМ ВЫБОРКА 2.4 по определению метода выборки (случайный, систематический, бессистемный).
Мы описываем, как мы определили объем выборки, если это не очевидно из описания или периодичности контроля, например, когда пример основан на проценте случаев (т.е. когда периодичность средства контроля "прочее").
Для прикладных средств контроля задокументируйте, как мы учли общую ИТ-оценку.</t>
  </si>
  <si>
    <t>Это требование включает ситуации, когда мы получаем прямое содействие от службы внутреннего аудита. См. ЭЯ ГАМ ВНУТРЕННИЙ АУДИТ 2.</t>
  </si>
  <si>
    <t>Обозначение</t>
  </si>
  <si>
    <t>Сроки тестирования средств контроля</t>
  </si>
  <si>
    <t>Сроки обновления тестирования средств контроля</t>
  </si>
  <si>
    <t>Сроки тестирование средств контроля службой внутреннего аудита</t>
  </si>
  <si>
    <t>Советы и руководства</t>
  </si>
  <si>
    <t>Процедуры тестирования средств контроля, выполненные повторно</t>
  </si>
  <si>
    <t>Процедуры тестирования средств контроля к выполнению</t>
  </si>
  <si>
    <t>Поле для перевода не может оставаться пустым.  Выберите язык из выпадающего меню для внесения изменений.</t>
  </si>
  <si>
    <t>Перевод на:</t>
  </si>
  <si>
    <t>США</t>
  </si>
  <si>
    <t>Обновление тестирования средств контроля:</t>
  </si>
  <si>
    <t>Процедуры обновления тестирования (в порядке от наименее убедительного до наиболее убедительного)</t>
  </si>
  <si>
    <t>Обновление ТК</t>
  </si>
  <si>
    <t>Пользователь</t>
  </si>
  <si>
    <t>Использование результатов работы службы внутреннего аудита:</t>
  </si>
  <si>
    <t>Ссылка на рабочие бумаги</t>
  </si>
  <si>
    <t>Мы можем задокументировать наши процедуры непосредственно на рабочих бумагах, подготовленных службой внутреннего аудита, и сохранить их для нашей аудиторской документации.</t>
  </si>
  <si>
    <t>Мы выбираем позиции для выборки таким образом, чтобы каждый элемент совокупности имел возможность быть выбранным. См. руководство в ЭЯ ГАМ ВЫБОРКА 2.4 по определению метода выборки (случайный, систематический, бессистемный).
Мы описываем, как мы определили объем выборки, если это не очевидно из описания или периодичности контроля, например, когда пример основан на проценте случаев (т.е. когда периодичность средства контроля "прочее").</t>
  </si>
  <si>
    <t>Мы используем отдельный рабочий документ для документирования того, как мы приняли меры в отношении рисков ИСК, включая риски ИСК, относящиеся к автоматической части ИТ-зависимых ручных средств контроля.</t>
  </si>
  <si>
    <t>Еженедельно</t>
  </si>
  <si>
    <t>Были ли выявлены отклонения в ходе обновления тестирования средств контроля?</t>
  </si>
  <si>
    <t>Были ли выявлены отклонения при проведении тестирования?</t>
  </si>
  <si>
    <t xml:space="preserve">Имеются ли признаки недобросовестных действий, ошибок или возросшей вероятности обхода средств контроля со стороны руководства? </t>
  </si>
  <si>
    <t>Заключение службы внутреннего аудита об операционной эффективности</t>
  </si>
  <si>
    <t>Ссылка на рабочие бумаги:</t>
  </si>
  <si>
    <t>Ссылка на рабочие бумаги, относящиеся к тестированию в промежуточном периоде</t>
  </si>
  <si>
    <t>Ссылка на форму СКО в рабочих бумагах</t>
  </si>
  <si>
    <t>"Дата окончания Года",</t>
  </si>
  <si>
    <t>Да</t>
  </si>
  <si>
    <t>Эффективный</t>
  </si>
  <si>
    <t>Неэффективный</t>
  </si>
  <si>
    <t>Промежуточная</t>
  </si>
  <si>
    <t>Конец года:</t>
  </si>
  <si>
    <t>Производство</t>
  </si>
  <si>
    <t>Контроль качества / тестирование</t>
  </si>
  <si>
    <t>● When we determine the IT processes supporting the IT application to be effective or reliable (aggregate IT evaluation is Support), our tests of the IT portions of ITDM controls can be tests of one. A test of one means we test one of each type of transaction and processing alternative. Refer to EY GAM CONTROLS 5.2b.
● When we determine the IT processes supporting the IT application to be ineffective (aggregate IT evaluation is Not Support), we may still be able to rely on the IT portions of the ITDM controls, if (refer to EY GAM IT 12.4):
       ●  Compensating controls within the SCOT support the continued functioning of the IT portion of the ITDM controls, and we test these compensating controls and test the IT portion of the ITDM control as for an environment with effective or reliable IT processes. For example, certain payroll personnel have security administrator access to the HR/PR IT applications giving them the ability to change HR information. An HR person verifies each change listed on a monthly change report to supporting documentation.  We may choose to test this compensating control.
       ●  For non-ICFR audits, we follow a direct testing strategy and test the IT portion of the ITDM control throughout the period of reliance. For example, we may be able to use audit software to test the operation of the IT portion of those ITDM controls throughout the period, for instance using data analytics.
● For guidance on performing benchmarking procedures refer to EY GAM CONTROLS 5.4c.</t>
  </si>
  <si>
    <t>● When we determine the IT processes supporting the IT application to be effective or reliable (aggregate IT evaluation is Support), our tests of application controls can be tests of one. A test of one means we test one of each type of transaction and processing alternative. Refer to EY GAM CONTROLS 5.2b.
● When we determine the IT processes supporting the IT application to be ineffective (aggregate IT evaluation is Not Support), we may still be able to rely on the application controls, if (refer to EY GAM IT 12.4):
       ●  Compensating controls within the SCOT support the continued functioning of application controls, and we test these compensating controls and test the application control as for an environment with effective or reliable IT processes. For example, the IT application prices invoices using data on the price master file and produces a listing of sales orders, invoices, part numbers and unit prices. The entity has a manual control to review and approve each item on the list. We may choose to test this compensating control.
       ●  For non-ICFR audits, we follow a direct testing strategy and test the application control throughout the period of reliance. For example, we may be able to use audit software to test the operation of those application controls throughout the period. The use of data analytics may enable more extensive testing of electronic transactions and account files. 
● For guidance on performing benchmarking procedures refer to EY GAM CONTROLS 5.4c.</t>
  </si>
  <si>
    <t>For guidance on the timing of our ToC refer to EY GAM CONTROLS 5.3
If testing is performed through a date prior to year end, use the update testing worksheet to document our update procedures. Refer to EY GAM CONTROLS 9.</t>
  </si>
  <si>
    <t>(公式，請勿編輯)</t>
  </si>
  <si>
    <t xml:space="preserve">●  請參照EY GAM SAMPLE 3.3基於控制執行性質及頻率之最小樣本量。 
●  特定控制最小樣本量係基於當測試一攸關聲明有多於一個相關控制之情況，及不預期於控制執行時發現例外。
●  若計畫測試一攸關聲明僅有一個相關控制，因對於該控制更加仰賴而取得更多確信。故選擇大於最小之樣本量。請參照EY GAM SAMPLE 3.3。
●  考量列於EY GAM SAMPLE 3.4之因素以確定是否需更多控制執行有效性之查核證據，因而增加超過最小之樣本量。
● [PCAOB] We consider the risk associated with the control in determining the extent of testing:
We need more persuasive evidence when the risk associated with a control is higher. The risk associated with a control consists of the risk that the control might not be effective, and if not effective, the risk that a material misstatement, or, for an integrated audit, a material weakness, would result. In determining how much evidence is necessary, we also consider the importance of the control to our audit strategy. As the risk associated with the control increases or the importance of the control to our audit strategy increases, more evidence is needed. More evidence can be obtained by changing the nature and/or extent of our testing.
As the risk associated with the control increases, we can increase the sample size to obtain additional evidence, or likewise reduce the sample size when the risk associated with the control is lower.  [PCAOB] </t>
  </si>
  <si>
    <t>●  控制測試設計包含合併查詢及其他程序以取得控制執行有效性之查核證據 - 僅查詢無法提供足夠證據以支持控制有效性之結論。
●  測試執行有效性所執行之程序包括綜合查詢、觀察、檢查及重新執行
●  取得更為信服之查核證據可更加仰賴控制
●  控制測試之性質、時間及範圍每年改變以測試包含不可預測性及回應情況之變化
●  設計控制測試時，評估預計取得作為查核證據之資訊攸關性及可靠性。
● 以下為可執行之部分程序範例以對複核控制收集證據與測試精確性：
         ● 執行查詢控制負責人及複核者
         ● 執行其他驗證查詢
         ● 檢查所執行後續程序之證據(例如電子郵件通信)，如有
         ● 確認複核控制於敏感程度個別或與其他攸關控制彙總執行於聲明層面足以偵出重大不實表達
         ● 觀察及時解決/修正不一致差異或錯誤
         ● 檢查複核該等事項及詢問問題之證據以開始後續追蹤
         ● 檢查文件草稿版本及支持控制執行之項目
         ● 重新執行原始作為部分複核控制而執行之相關控制程序
●  [PCAOB] We consider the risk associated with the control in determining the nature of testing. [PCAOB]
● [PCAOB] We need more persuasive evidence when the risk associated with a control is higher. The risk associated with a control consists of the risk that the control might not be effective, and if not effective, the risk that a material misstatement, or, for an integrated audit, a material weakness, would result. In determining how much evidence is necessary, we also consider the importance of the control to our audit strategy. As the risk associated with the control increases or the importance of the control to our audit strategy increases, more evidence is needed. More evidence can be obtained by changing the nature and/or extent of our testing. [PCAOB]
●  [PCAOB] As the risk related to the control  increases, we would combine testing methods (e.g., add re-performance to our inquiry and observation procedures) or use methods that provide more persuasive evidence. [PCAOB]
●  請參照EY GAM CONTROLS 5.2</t>
  </si>
  <si>
    <t>● 自動化控制可能包含於交易發起或處理時所發生之資料測試。該等測試導致處理停止以建議使用者潛在問題之資訊。某些編輯處理或輸入停止直至情況透過更新資訊或有特定存取權限(及責任)人員接受差異以准許繼續處理或輸入而解決。其他編輯可能由IT應用系統使用者瞭解資訊或情況而不變更資訊以解決。我們瞭解部分自動化控制之測試如何解決以確定控制有用性而因應WCGW。通常測試需資料修正或二次核准者相較於編輯僅通知使用者為較強控制。</t>
  </si>
  <si>
    <t>● 授權檢查：當使用者控制為部分營業流程，我們評估指派權限給應用系統使用者是否與其職責相稱並支持適切職能分工。 
● 配置檢查：系統配置以特定方式處理交易(即系統將保留發票若購買價格差異超過配置門檻)。配置通常可於應用系統畫面或報告中檢查。
● 重新執行每種適用交易類型及處理選擇：測試基於應用系統程式設計或配置如何處理適用交易。重新執行建立在應用系統控制執行一致基於系統程式設計或配置。若ITGC支持應用系統，我們每種處理選擇執行一次重新執行測試。若ITGC不支持，我們於查核期間執行超過一次重新執行測試。
請參閱EY GAM CONTROLS 5.2b</t>
  </si>
  <si>
    <t>● 不可配置 - 不可配置控制為應用系統內程式設計以執行控制作為客製編碼或套裝軟體功能之結果。我們測試各種適用交易類型及處理選擇以評估控制執行有效。
● 可配置 - 可配置應用系統控制執行取決於應用系統設定。基於特定應用系統設定，可配置控制於相同應用系統之不同交易類別可能以不同方式執行。我們於walkthrough檢查各種適用交易類型及處理選擇之授權及/或測試配置以評估控制如同管理階層所設計之配置。</t>
  </si>
  <si>
    <t>● 查核主辦會計師及案件品質複核於重大不實表達較高風險或較為主觀區域核准規劃使用內部稽核職能工作。記錄規劃使用內部稽核職能區域於審計策略備忘錄 (ASM)。請參照EY GAM INTERNAL-AUDIT 1.2.1。
● 重大不實表達風險或主觀區域規劃使用內部稽核或其他工作之區域增加，包含於工作底稿紀錄使用內部稽核工作或其他區域之基礎，及增加重新執行範圍及/或監督並複核該等區域。
          該等區域包括：
          ● 較高固有風險或舞弊風險區域
          ● 所辨認當年或以前年度重大弱點或顯著缺失區域
          ● 因應舞弊風險之程序(例如日記帳分錄測試)
          ● 企業整體層面(包括集團範圍)控制</t>
  </si>
  <si>
    <t xml:space="preserve">● 於查核中重新評估內部稽核職能的能力及客觀性之初步評估。該等重新評估行為包含評估系統性及遵循方法，包括品質控制。此外，重新評估規劃範圍使用內部稽核職能基於監督、複核及重新執行其工作之結果是否適當。
 [US GAAS] Our considerations for the use of internal audit also include consideration of the work of others. We document the extent of involvement of internal auditors and others in our audit in the Using the work of the internal auditors or others form. [US GAAS] </t>
  </si>
  <si>
    <t>● 當於期中期間執行控制測試並總結能夠仰賴控制，我們：
    • 取得關於重大變更對該等控制於期中期間後之查核證據
    • 確定取得剩餘期間之額外查核證據
    • 執行適切之綜合查詢、觀察、檢查、額外walkthrough及額外控制測試
當於資產負債表日以前六個月以上執行控制測試，透過查詢、觀察及檢查更新瞭解外，執行額外walkthrough或控制測試。請參閱EY GAM CONTROLS 9。
控制更新程序之性質及範圍需回應使控制於剩餘期間不再有效之風險。請參閱EY GAM CONTROLS 9風險因素之範例。
● [PCAOB - Integrated Audits] In  an integrated audit, we generally perform additional or more extensive tests of controls (i.e., more extensive inquiry, observation and inspection) to update our evaluation of those controls from the time of our interim procedures through period end as compared to the additional testing performed in a financial statement audit, because we need to support our opinion on internal control over financial reporting as at the period end. [PCAOB - Integrated Audits] 
● We consider the following risk factors in determining the additional audit evidence to be obtained about controls that we tested in the interim period:
          ● The significance of the identified risks of material misstatement for the relevant assertions
          ● The objectiveness and persuasiveness of the audit evidence
          ● The length of the remaining period
          ● The number of occurrences of the control
          ● The control environment
          ● The existence of monitoring controls
          ● The effectiveness of ITGCs
          ● Control exceptions identified
          ● Changes to controls tested in the interim period.
          ● Results of substantive procedures
          ● [PCAOB] The risk associated with the controls [PCAOB]</t>
  </si>
  <si>
    <t>需要時增加列</t>
  </si>
  <si>
    <t>需要時增加列以標註，包括例外說明</t>
  </si>
  <si>
    <t>額外細項控制測試</t>
  </si>
  <si>
    <t>額外細項ToC</t>
  </si>
  <si>
    <t>額外walkthroughs</t>
  </si>
  <si>
    <t>年次</t>
  </si>
  <si>
    <t>適用GAAS：</t>
  </si>
  <si>
    <t>適當存取？</t>
  </si>
  <si>
    <t>適當輸入值？</t>
  </si>
  <si>
    <t>由於測試程序之結果總結是否有控制屬性以及仰賴期間之控制執行是否於聲明層面如同設計用以預防、或偵出並改正重大不實表達。</t>
  </si>
  <si>
    <t>記錄於SCOT表單</t>
  </si>
  <si>
    <t>屬性符合無例外</t>
  </si>
  <si>
    <t>財務報表查核</t>
  </si>
  <si>
    <t>計算百分比重新執行</t>
  </si>
  <si>
    <t>控制例外可否停止進行或產生例外報告？</t>
  </si>
  <si>
    <t>清除驗證暫停(點選 "+" 展開指引)</t>
  </si>
  <si>
    <t>結論</t>
  </si>
  <si>
    <t>當使用內部稽核功能或其他，考量較高風險，包括更多主觀控制(點選 "+" 展開指引)</t>
  </si>
  <si>
    <t>考量風險因素以確定更新ToC (點選 "+" 展開指引)</t>
  </si>
  <si>
    <t>內容</t>
  </si>
  <si>
    <t>統制の説明</t>
  </si>
  <si>
    <t>控制說明</t>
  </si>
  <si>
    <t>控制類型</t>
  </si>
  <si>
    <t>目前輸入值</t>
  </si>
  <si>
    <t>日次</t>
  </si>
  <si>
    <t>測試日期</t>
  </si>
  <si>
    <t>日期/期間</t>
  </si>
  <si>
    <t>說明所檢查之文件或其他實體證據</t>
  </si>
  <si>
    <t>說明若確定例外為缺失且資訊將包含在SOCD</t>
  </si>
  <si>
    <t>說明對例外性質及原因之瞭解，以及支持評估例外為隨機之信服證據</t>
  </si>
  <si>
    <t>說明發生踰越控制之情況，且有任何關於踰越控制之流程、政策或控制</t>
  </si>
  <si>
    <t>說明所觀察之控制程序</t>
  </si>
  <si>
    <t>說明或參照所執行程序以確定IT應用系統是否多種執行個體有相同功能(例如：檢查程式標的、程式碼、版本編號是否驗證多種執行個體有相同功能？)</t>
  </si>
  <si>
    <t>說明所執行程序用以確定系統中何種角色准許存取以修改影響應用系統或ITDM控制功能之配置</t>
  </si>
  <si>
    <t>說明所執行程序以評估關於應用系統控制功能之設定適切性</t>
  </si>
  <si>
    <t>說明所執行程序以評估准許清除驗證編輯能力之存取角色使用者適切性</t>
  </si>
  <si>
    <t>說明所執行程序以評估准許修改影響應用系統或ITDM控制功能配置能力之存取角色使用者適切性</t>
  </si>
  <si>
    <t>說明所使用流程以確定系統中何種角色准許存取以清除驗證編輯</t>
  </si>
  <si>
    <t>說明walkthrough所執行程序，包括所查詢人員及所用以確認瞭解之交易或控制執行個體</t>
  </si>
  <si>
    <t>說明</t>
  </si>
  <si>
    <t>樣本項目說明</t>
  </si>
  <si>
    <t>說明所執行程序以確定測試母體(是否適切及完整)、樣本大小及如何選擇樣本</t>
  </si>
  <si>
    <t>設計屬性</t>
  </si>
  <si>
    <t>確定相同IT應用系統之多種執行個體與測試樣本有相同功能</t>
  </si>
  <si>
    <t>是否辨認並測試補償性控制？</t>
  </si>
  <si>
    <t>是否同意基於所複核或重新執行工作之結論</t>
  </si>
  <si>
    <t>是否有例外為隨機之信服證據？</t>
  </si>
  <si>
    <t>是否進行？</t>
  </si>
  <si>
    <t>記錄決定樣本之任何其他特殊考量</t>
  </si>
  <si>
    <t>記錄如何增加樣本以因應隨機控制例外</t>
  </si>
  <si>
    <t>記錄查核回應若功能不同</t>
  </si>
  <si>
    <t>記錄任何執行個體不當存取之查核回應，包括監督存取之控制考量</t>
  </si>
  <si>
    <t>記錄任何執行個體不當存取之查核回應，包括監督使用存取以清除編輯之控制考量</t>
  </si>
  <si>
    <t>記錄任何執行個體不當設定之查核回應</t>
  </si>
  <si>
    <t>記錄風險因素之考量以確定更新程序之性質、時間及範圍</t>
  </si>
  <si>
    <t>記錄所使用母體及確定母體完整性之程序</t>
  </si>
  <si>
    <t>記錄樣本選擇方法，包括樣本選擇人員</t>
  </si>
  <si>
    <t>記錄重新執行之選擇及重新執行之程序於下方或參照其他工作底稿</t>
  </si>
  <si>
    <t>会社名:</t>
  </si>
  <si>
    <t>企業名稱：</t>
  </si>
  <si>
    <t>評估影響控制功能之配置(點選 "+" 展開指引)</t>
  </si>
  <si>
    <t>解釋以上問題任何回答「是」之查核回應。</t>
  </si>
  <si>
    <t>ToC性質(點選 "+" 展開指引)</t>
  </si>
  <si>
    <t>由內部稽核稽職能執行之ToC性質</t>
  </si>
  <si>
    <t>欄位</t>
  </si>
  <si>
    <t>應用系統控制：例如交易類型、處理選擇、存取限制</t>
  </si>
  <si>
    <t>例如：是否有相關流程之顯著修改？是否有相關IT系統之新或顯著修改？是否有任何工作角色或責任之變更？</t>
  </si>
  <si>
    <t>ToC時間之指引請參閱EY GAM CONTROLS 5.3
若於年末日期前執行測試，使用更新測試工作表以記錄更新程序。請參閱EY GAM CONTROLS 9。</t>
  </si>
  <si>
    <t>頻率</t>
  </si>
  <si>
    <t>內部稽核職能是否已使用適切之測試策略，包括測試適切之控制設計屬性？</t>
  </si>
  <si>
    <t>控制自前次測試後是否有任何變更？</t>
  </si>
  <si>
    <t>是否包含所辨認之控制缺失於SOCD？</t>
  </si>
  <si>
    <t>辨認用於產生畫面/選單、欄位及輸入值列表之證據以支持此測試</t>
  </si>
  <si>
    <t>辨認用於產生角色、使用者及工作職稱列表之證據</t>
  </si>
  <si>
    <t>辨認用於產生角色、使用者及工作職稱列表之證據以支持我們的瞭解</t>
  </si>
  <si>
    <t>辨認用於支持此測試或參照測試之證據</t>
  </si>
  <si>
    <t>辨認所評估人員及其角色存取適切性之結論</t>
  </si>
  <si>
    <t>辨認控制關鍵可配置屬性及設定適切性</t>
  </si>
  <si>
    <t>若相同應用系統存在多種執行個體，對於範圍內之執行個體需個別測試應用系統及ITDM控制。若已執行測試確認執行個體有相同功能，記錄所執行程序以支持結論或增加工作底稿紀錄參照。</t>
  </si>
  <si>
    <t>若否，說明原因及所執行之額外獨立程序</t>
  </si>
  <si>
    <t>若否，說明內部稽核職能所辨認缺失與控制執行有效性結論無關之原因</t>
  </si>
  <si>
    <t>若否，解釋原因並解釋所執行之額外程序以回應包含該等程序之結果及/或結論之變更</t>
  </si>
  <si>
    <t>若於生產以外之環境執行測試，參照工作底稿或記錄所執行程序以驗證該環境與生產環境有相同功能</t>
  </si>
  <si>
    <t>若總結控制未執行有效且存在控制缺失，我們於SOCD總結。
[US GAAS] EY Form U220 Summary of control deficiencies (SOCD) serves as the primary documentation of our conclusions regarding the evaluation of identified deficiencies both individually and in the aggregate.</t>
  </si>
  <si>
    <t>EYによる独自テスト</t>
  </si>
  <si>
    <t>由EY獨立測試</t>
  </si>
  <si>
    <t>控制資訊</t>
  </si>
  <si>
    <t>所檢查資訊</t>
  </si>
  <si>
    <t>用於執行控制之企業提供之資訊(IPE)</t>
  </si>
  <si>
    <t>查詢對象(列出全部人員及其職稱以更新查詢)：</t>
  </si>
  <si>
    <t>質問</t>
  </si>
  <si>
    <t>查詢</t>
  </si>
  <si>
    <t>查詢控制之執行</t>
  </si>
  <si>
    <t>閲覧</t>
  </si>
  <si>
    <t>檢查</t>
  </si>
  <si>
    <t>檢查授權</t>
  </si>
  <si>
    <t>檢查配置</t>
  </si>
  <si>
    <t>檢查實體證據</t>
  </si>
  <si>
    <t>檢查相關工作底稿紀錄</t>
  </si>
  <si>
    <t>執行個體</t>
  </si>
  <si>
    <t>財務報表與財務報導內部控制之整合性審計</t>
  </si>
  <si>
    <t>期中或年末測試？</t>
  </si>
  <si>
    <t>內部稽核職能 - 由於控制相關程序，內部稽核職能之工作是否與原始評估其能力、客觀性或應用系統性及遵循方法一致，包括品質控制？</t>
  </si>
  <si>
    <t>內部稽核職能 - 其測試結論，控制及我們重新評估其能力及客觀性或應用系統性及遵循方法，包括品質控制(點選 "+" 展開指引)</t>
  </si>
  <si>
    <t>應用系統產生之IPE於ITDM控制中使用 - 若控制類型為ITDM，於此預填是。</t>
  </si>
  <si>
    <t>任何企業提供之資訊是否用於執行此控制？</t>
  </si>
  <si>
    <t>控制是否風險較高或較主觀？</t>
  </si>
  <si>
    <t>控制是否可配置？</t>
  </si>
  <si>
    <t>多個執行個體IT應用系統是否於單一執行個體執行測試且欲作為多個執行個體之測試？</t>
  </si>
  <si>
    <t>IT應用系統</t>
  </si>
  <si>
    <t>ITアプリケーション統制</t>
  </si>
  <si>
    <t>IT依存手作業統制</t>
  </si>
  <si>
    <t>工作職稱</t>
  </si>
  <si>
    <t>列出用以監督管理階層踰越之控制及流程(包含參照所測試控制)</t>
  </si>
  <si>
    <t>手作業発見</t>
  </si>
  <si>
    <t>人工偵查</t>
  </si>
  <si>
    <t>手作業防止</t>
  </si>
  <si>
    <t>人工預防</t>
  </si>
  <si>
    <t>日に何度も</t>
  </si>
  <si>
    <t>月次</t>
  </si>
  <si>
    <t>應用系統或ITDM控制之ToC性質及時間(點選 "+" 展開指引)</t>
  </si>
  <si>
    <t>案件性質：</t>
  </si>
  <si>
    <t>更新ToC性質(點選 "+" 展開指引)</t>
  </si>
  <si>
    <t>剩餘期間更新ToC程序之性質(從最不具信服程度至最具信服程度)：
● 查詢 – 查詢執行及直接監督特定控制(管理階層及其他員工)之人員並建立是否有任何跡象：
          ● 變更設計或執行特定控制
          ● 重新指派職責或授權層級
          ● 主要人員、IT系統或IT應用系統之變更
          ● 引進新IT系統、IT應用系統或政策及程序
          ● 於剩餘期間相關科目之任何錯誤
          ● 其他可能影響所測試控制持續有效性結論之重大變更
● 觀察 – 於剩餘期間觀察所執行控制程序
● 檢查 – 於剩餘期間檢查在相關時間編製之實體證據 (例如報告及該等報告經複核之證據、複核調節、閱讀會議紀錄)。
● 額外walkthroughs – 針對特定控制或控制集合執行額外walkthrough程序以回應風險因素(例如來自查詢、觀察或檢查之證據顯示有重大變更可影響期中期間所取得查核證據攸關性或所測試控制執行有效性之結論)。
● 額外細項控制測試 – 執行額外控制測試以回應所辨認風險因子</t>
  </si>
  <si>
    <t>いいえ</t>
  </si>
  <si>
    <t>重新執行選擇數量</t>
  </si>
  <si>
    <t>観察</t>
  </si>
  <si>
    <t>觀察</t>
  </si>
  <si>
    <t>控制發生之觀察</t>
  </si>
  <si>
    <t>ToC更新後之執行有效性結論：</t>
  </si>
  <si>
    <t>期中測試日期之執行有效性結論</t>
  </si>
  <si>
    <t>仰賴期間之執行有效性結論</t>
  </si>
  <si>
    <t>執行有效性結論：</t>
  </si>
  <si>
    <t>原始ToC</t>
  </si>
  <si>
    <t>その他</t>
  </si>
  <si>
    <t>評估由內部稽核職能執行測試之性質、時間及範圍</t>
  </si>
  <si>
    <t>ToC涵蓋期間：日期從(MM/YYYY)</t>
  </si>
  <si>
    <t>ToC涵蓋期間：日期至(MM/YYYY)</t>
  </si>
  <si>
    <t>涵蓋期間：日期從(MM/YYYY)</t>
  </si>
  <si>
    <t>涵蓋期間：日期至(MM/YYYY)</t>
  </si>
  <si>
    <t>四半期</t>
  </si>
  <si>
    <t>每季</t>
  </si>
  <si>
    <t>參照補償性控制之名稱</t>
  </si>
  <si>
    <t>參照工作底稿或說明所執行程序以支持結論</t>
  </si>
  <si>
    <t>參照工作底稿記錄如何因應IPE風險</t>
  </si>
  <si>
    <t>參照工作底稿包含測試欄位及任何測試程式或其他相關工作底稿紀錄</t>
  </si>
  <si>
    <t>相關IT應用系統</t>
  </si>
  <si>
    <t>相關SCOT：</t>
  </si>
  <si>
    <t>重新執行控制</t>
  </si>
  <si>
    <t>内部監査機能の作業の再実施</t>
  </si>
  <si>
    <t>重新執行由內部稽核職能執行之ToC</t>
  </si>
  <si>
    <t>報告名稱</t>
  </si>
  <si>
    <t>程序結果</t>
  </si>
  <si>
    <t>期中財務資訊複核</t>
  </si>
  <si>
    <t>内部監査機能のテスト計画及び結果のレビュー</t>
  </si>
  <si>
    <t>複核測試程式及內部稽核職能結果</t>
  </si>
  <si>
    <t>レビュー統制又は監視統制か?</t>
  </si>
  <si>
    <t>複核或監督控制？</t>
  </si>
  <si>
    <t>角色/基本資料/集團</t>
  </si>
  <si>
    <t>樣本項目 #</t>
  </si>
  <si>
    <t>樣本大小</t>
  </si>
  <si>
    <t>樣本大小？</t>
  </si>
  <si>
    <t>畫面/選單</t>
  </si>
  <si>
    <t>選擇所有符合之條件</t>
  </si>
  <si>
    <t>測試環境</t>
  </si>
  <si>
    <t>測試程序</t>
  </si>
  <si>
    <t>測試策略</t>
  </si>
  <si>
    <t>測試策略 - 使用內部稽核職能工作(點選 "+" 展開指引)</t>
  </si>
  <si>
    <t>當使用內部稽核職能之測試策略及工作計畫</t>
  </si>
  <si>
    <t>控制測試：</t>
  </si>
  <si>
    <t>ToC母體需為完整且適切，EY GAM SAMPLE 3.2
我們以母體中各抽樣單位均有抽中機會之方式選擇項目作為樣本，請參照指引EY GAM SAMPLE 2.4確定樣本選擇方法(隨機、系統、隨意)。
我們說明如何確定樣本大小若說明或控制頻率不明顯，例如當範例係基於發生百分比(即當控制頻率為「其他」)。
針對應用系統控制，記錄綜合IT評估如何考量。</t>
  </si>
  <si>
    <t>包括當取得內部稽核直接協助之情況。請參照EY GAM INTERNAL-AUDIT 2。</t>
  </si>
  <si>
    <t>ToC時間</t>
  </si>
  <si>
    <t>更新ToC時間</t>
  </si>
  <si>
    <t>由內部稽核職能執行之ToC時間</t>
  </si>
  <si>
    <t>提示與指引</t>
  </si>
  <si>
    <t>重新執行ToC程序</t>
  </si>
  <si>
    <t>欲執行之ToC程序</t>
  </si>
  <si>
    <t>翻譯語言不得為空白。請從下拉式選單選擇語言變更。</t>
  </si>
  <si>
    <t>翻譯為：</t>
  </si>
  <si>
    <t>更新控制測試：</t>
  </si>
  <si>
    <t>更新測試程序(從最不具信服程度至最具信服程度)：</t>
  </si>
  <si>
    <t>更新ToC</t>
  </si>
  <si>
    <t>使用者</t>
  </si>
  <si>
    <t>使用內部稽核職能工作：</t>
  </si>
  <si>
    <t>W/P 參照</t>
  </si>
  <si>
    <t>我們可能直接於由內部稽核職能編製之工作底稿記錄程序並保留作為部分查核工作底稿紀錄。</t>
  </si>
  <si>
    <t>我們以母體中各抽樣單位均有抽中機會之方式選擇項目作為樣本，請參照指引EY GAM SAMPLE 2.4確定樣本選擇方法(隨機、系統、隨意)。
我們說明如何確定樣本大小若說明或控制頻率不明顯，例如當範例係基於發生百分比(即當控制頻率為「其他」)。</t>
  </si>
  <si>
    <t>使用個別工作底稿以記錄如何因應IPE風險，包括ITDM控制之自動部分相關IPE風險。</t>
  </si>
  <si>
    <t>週次</t>
  </si>
  <si>
    <t>每週</t>
  </si>
  <si>
    <t>更新ToC時是否發現例外？</t>
  </si>
  <si>
    <t>測試時是否發現例外？</t>
  </si>
  <si>
    <t>是否有任何舞弊行為、錯誤或管理階層踰越可能性增加之指標？</t>
  </si>
  <si>
    <t>何為內部稽核職能達到執行有效結論？</t>
  </si>
  <si>
    <t>工作底稿參照：</t>
  </si>
  <si>
    <t>期中測試工作底稿參照</t>
  </si>
  <si>
    <t>SCOT表單工作底稿參照</t>
  </si>
  <si>
    <t>はい</t>
  </si>
  <si>
    <t>アメリカ</t>
  </si>
  <si>
    <t>財務諸表監査</t>
  </si>
  <si>
    <t>財務諸表及び財務報告に係る内部統制の統合監査</t>
  </si>
  <si>
    <t>● 當我們決定支持IT應用系統之IT流程為有效或可仰賴(綜合IT評估為支持)，測試ITDM控制之IT部分可為一筆測試。一筆測試代表各類型交易及每一種處理方式均測試一筆。請參照EY GAM CONTROLS 5.2b。
● 當我們決定支持IT應用系統之IT流程為無效(綜合IT評估為不支持)，但符合下列條件時(請參照EY GAM IT 12.4)，我們仍可仰賴ITDM控制之IT部分：
       ●  該SCOT中的補償性控制，支持ITDM控制之IT部分繼續運作，且我們測試了該等補償性控制，並將IT流程之環境視為有效或可仰賴，測試了ITDM控制之IT部分。例如：某些薪資人員有安全管理員存取權限而可進入HR/PR IT應用系統變更HR資訊。HR人員驗證變更月報表上之每一個變更至支持文件，則我們可能選擇測試此補償性控制。
       ●  非ICFR查核，我們採用直接測試策略並於仰賴期間測試ITDM控制之IT部分。例如：可使用審計軟體測試該期間ITDM控制之IT部分，例如使用資料分析。
● 執行基準程序之指引請參照EY GAM CONTROLS 5.4c。</t>
  </si>
  <si>
    <t>● После того как мы определили, что ИТ-процессы, поддерживающие приложение, являются эффективными или надежными (по результатам совокупной оценки как "Поддерживают"), наше тестирование ИТ-части ИТ-зависимых ручных средств контроля может заключаться в проведении теста одной позиции. Тест одной позиции означает, что мы тестируем одну из каждого типа операций и вариантов обработки. См. ЭЯ ГАМ КОНТРОЛИ 5.2б.
● После того как мы определили, что ИТ-процессы, поддерживающие приложение, не являются эффективными (по результатам совокупной оценки как "Не поддерживают"), мы тем не менее можем полагаться на ИТ-часть ИТ-зависимых ручных средств контроля, если (см. раздел ЭЯ ГАМ ИТ 12.4):
       ●  Компенсирующие средства контроля в рамках СКО обеспечивают непрерывное функционирование ИТ-части ИТ-зависимых ручных  средств контроля, и мы проводим тестирование данных компенсирующих средств контроля и ИТ-части ИТ-зависимых ручных  средств контроля как для среды с эффективными или надежными ИТ-процессами. Например, некоторые сотрудники, занимающиеся начислением заработной платы, имеют доступ с правами администратора в приложения Отдела кадров/Заработной платы, позволяющий им менять информацию по кадрам. Сотрудник Отдела кадров сверяет каждое изменение, перечисленное в ежемесячном отчете об изменениях, с подтверждающей документацией.  Может быть принято решение протестировать данное компенсирующее средство контроля.
       ●  В ходе тех аудитов, которые не связаны с проверкой системы внутреннего контроля за подготовкой финансовой отчетности, мы придерживаемся стратегии прямого тестирования и тестируем ИТ-часть ИТ-зависимых ручных средств контроля в течение всего периода, когда мы полагаемся на данное средство контроля. Например, для тестирования функционирования ИТ-части  указанных ИТ-зависимых ручных  средств контроля в течение определенного периода мы можем применять аудиторские программные средства, например, использовать средства аналитики данных. 
● Руководство по проведению сравнительных процедур представлено в разделе ЭЯ ГАМ КОНТРОЛИ 5.4в.</t>
  </si>
  <si>
    <t>● 當我們決定支持IT應用系統之IT流程為有效或可仰賴(綜合IT評估為支持)，測試應用系統控制可為一筆測試。一筆測試代表各類型交易及每一種處理方式均測試一筆。請參照EY GAM CONTROLS 5.2b。
● 當我們決定支持IT應用系統之IT流程為無效(綜合IT評估為不支持)，但符合下列條件時(請參照EY GAM IT 12.4)，我們仍可仰賴應用系統控制：
       ●  該SCOT中的補償性控制，支持應用系統控制繼續運作，且我們測試了該等補償性控制，並將IT流程之環境視為有效或可仰賴，測試了應用系統控制。例如：IT應用系統發票訂價使用價格主檔的資料並產生銷貨訂單、發票、零件數量及單位價格列表。企業有人工控制複核及核准列表項目。我們可能選擇測試此補償性控制。
       ●  非ICFR查核，我們採用直接測試策略並於仰賴期間測試應用系統控制。例如：可使用審計軟體測試該期間應用系統控制之執行。使用資料分析可測試更廣泛之電子交易及科目檔案。
● 執行基準程序之指引請參照EY GAM CONTROLS 5.4c。</t>
  </si>
  <si>
    <t>● После того как мы определили, что ИТ-процессы, поддерживающие приложение, являются эффективными или надежными (по результатам совокупной оценки как "Поддерживают"), наше тестирование прикладных средств контроля может заключаться в проведении теста одной позиции. Тест одной позиции означает, что мы тестируем одну из каждого типа операций и вариантов обработки. См. ЭЯ ГАМ КОНТРОЛИ 5.2б.
● После того как мы определили, что ИТ-процессы, поддерживающие приложение, не являются эффективными (по результатам совокупной оценки как "Не поддерживают"), мы тем не менее можем полагаться на прикладные средства контроля, если (см. раздел ЭЯ ГАМ ИТ 12.4):
       ●  Компенсирующие средства контроля в рамках СКО обеспечивают непрерывное функционирование прикладных  средств контроля, и мы проводим тестирование данных компенсирующих средств контроля и прикладных  средств контроля как для среды с эффективными или надежными ИТ-процессами. Например, ИТ-приложение устанавливает цену в счете, используя данные о ценах из соответствующего мастер-файла, и генерирует перечень заказов на продажу, счетов, номеров изделий и цен за единицу продукции. В Компании есть ручной контроль, в ходе выполнения которого проверяется и утверждается каждая позиция из перечня. Может быть принято решение протестировать данное компенсирующее средство контроля.
       ●  В ходе тех аудитов, которые не связаны с проверкой системы внутреннего контроля за подготовкой финансовой отчетности, мы придерживаемся стратегии прямого тестирования и тестируем прикладное средство контроля в течение всего периода, когда мы полагаемся на данное средство контроля. Например, для тестирования функционирования прикладных  средств контроля в течение определенного периода мы можем применять аудиторские программные средства. Использование средств аналитики данных дает возможность проводить тестирование электронных транзакций и учетных файлов на более глубоком уровне. 
● Руководство по проведению сравнительных процедур представлено в разделе ЭЯ ГАМ КОНТРОЛИ 5.4в.</t>
  </si>
  <si>
    <r>
      <t>IT</t>
    </r>
    <r>
      <rPr>
        <sz val="11"/>
        <color rgb="FF000000"/>
        <rFont val="SimSun"/>
      </rPr>
      <t>應用系統控制</t>
    </r>
  </si>
  <si>
    <r>
      <t>仰賴</t>
    </r>
    <r>
      <rPr>
        <sz val="11"/>
        <color rgb="FF000000"/>
        <rFont val="Calibri"/>
        <family val="2"/>
        <scheme val="minor"/>
      </rPr>
      <t>IT</t>
    </r>
    <r>
      <rPr>
        <sz val="11"/>
        <color rgb="FF000000"/>
        <rFont val="SimSun"/>
      </rPr>
      <t>人工控制</t>
    </r>
  </si>
  <si>
    <t>重新執行內部稽核職能工作</t>
  </si>
  <si>
    <t>Средство контроля, связанное с проверкой, или мониторинговое?</t>
  </si>
  <si>
    <t>●当我们确定支持IT应用程序的IT流程为有效或可依赖(汇总IT评价为支持)时，我们对依赖IT的手工控制(ITDM)的IT部分之测试可以为单个测试。单个测试的意思是我们测试每类交易和处理备选方案中的一个。请参见安永GAM《控制5.2b》。
● 当我们确定支持IT应用程序的IT流程为无效(汇总IT评价为不支持)时，我们或许依旧可依赖ITDM的IT部分，若（参见GAM《信息技术12.4》：
       ●  重大交易类别中的补偿性控制支持ITDM的IT部分之持续运行，并且我们测试该类补偿性控制以及测试ITDM的IT部分如同一个拥有有效或可依赖IT流程的环境。 例如，某工资人员对HR/PR IT应用程序有着安全行政人员权限，其被赋予修改HR信息的能力。一位HR人员验证每月变更表中所列出的每项变更至支持性文档记录。我们可选择测试这个补偿性控制。 
       ●  关于非ICFR审计，我们采取一个直接测试的策略，并测试在依赖期间内的ITDM控制的IT部分。例如，我们可能可以使用审计软件来测试ITDM控制的IT部分在期间的运行，比如使用数据分析工具。
● 请参见安永GAM《控制5.4c》以获取执行基准比较程序的指引。</t>
  </si>
  <si>
    <t>●当我们确定支持IT应用程序的IT流程为有效或可依赖(汇总IT评价为支持)时，我们对应用程序控制的测试可以为单个测试。单个测试的意思是我们测试每类交易和处理备选方案中的一个。请参见安永GAM《控制5.2b》。
● 当我们确定支持IT应用程序的IT流程为无效(汇总IT评价为不支持)时，我们或许依旧可依赖IT应用程序控制，若（参见GAM《信息技术12.4》：
       ●  重大交易类别中的补偿性控制支持应用程序控制的持续运行，并且我们测试该类补偿性控制以及应用程序控制如同一个拥有有效或可依赖IT流程的环境。 例如，IT应用程序使用主价格文件中的数据来对发票标价，并且生成销售订单、发票、部件编码和单价清单。实体具有一个手工控制来复核和批准清单上的每项。我们可选择测试这个补偿性控制。 
       ●  关于非ICFR审计，我们采取一个直接测试的策略，并测试在依赖期间内的应用程序控制。例如，我们可能可以使用审计软件来测试应用程序控制在期间的运行。使用数据分析工具或可促使电子交易和账户文件的更广泛测试。
● 请参见安永GAM《控制5.4c》以获取执行基准比较程序的指引。</t>
  </si>
  <si>
    <t>IT应用程序控制</t>
  </si>
  <si>
    <t>内部审计功能工作的重新执行</t>
  </si>
  <si>
    <t>内部审计功能的测试计划和结果之复核</t>
  </si>
  <si>
    <t>是</t>
    <phoneticPr fontId="22" type="noConversion"/>
  </si>
  <si>
    <t>否</t>
    <phoneticPr fontId="22" type="noConversion"/>
  </si>
  <si>
    <t>有效</t>
    <phoneticPr fontId="22" type="noConversion"/>
  </si>
  <si>
    <t>無效</t>
    <phoneticPr fontId="22" type="noConversion"/>
  </si>
  <si>
    <t>其他</t>
    <phoneticPr fontId="22" type="noConversion"/>
  </si>
  <si>
    <t>財務報表查核</t>
    <phoneticPr fontId="22" type="noConversion"/>
  </si>
  <si>
    <t>財務報表與財務報導內部控制之整合性審計</t>
    <phoneticPr fontId="22" type="noConversion"/>
  </si>
  <si>
    <t>期中財務資訊複核</t>
    <phoneticPr fontId="22" type="noConversion"/>
  </si>
  <si>
    <t>人工預防</t>
    <phoneticPr fontId="22" type="noConversion"/>
  </si>
  <si>
    <t>每日多次</t>
    <phoneticPr fontId="22" type="noConversion"/>
  </si>
  <si>
    <t>每天</t>
    <phoneticPr fontId="22" type="noConversion"/>
  </si>
  <si>
    <t>每月</t>
    <phoneticPr fontId="22" type="noConversion"/>
  </si>
  <si>
    <t>每季</t>
    <phoneticPr fontId="22" type="noConversion"/>
  </si>
  <si>
    <t>每年</t>
    <phoneticPr fontId="22" type="noConversion"/>
  </si>
  <si>
    <t>期中</t>
    <phoneticPr fontId="22" type="noConversion"/>
  </si>
  <si>
    <t>年末</t>
    <phoneticPr fontId="22" type="noConversion"/>
  </si>
  <si>
    <t>生產</t>
    <phoneticPr fontId="22" type="noConversion"/>
  </si>
  <si>
    <t>(編集不可)</t>
  </si>
  <si>
    <t xml:space="preserve">●  統制の種類及び実施頻度に基づく最小サンプル数についてはSAMPLE 3.3を参照する。
●  ある特定の統制に対するテストの最小サンプル数は、ある関連するアサーションに関連づけられた複数の統制に対してテストを実施し、かつ、統制の運用における逸脱の発見を想定していないという状況に基づいている。
●  関連するアサーションについて、一つの統制のテストしか計画していない場合には、一つの統制により大きく依拠することになるので、その一つの統制から多くの保証を得ることになるため、より多くのサンプル数を抽出する。SAMPLE 3.3を参照する。
●  統制の運用状況の有効性にかかる監査証拠がより多く必要であれば、最小サンプル数からサンプルを増加させる
● [PCAOB] We consider the risk associated with the control in determining the extent of testing:
We need more persuasive evidence when the risk associated with a control is higher. The risk associated with a control consists of the risk that the control might not be effective, and if not effective, the risk that a material misstatement, or, for an integrated audit, a material weakness, would result. In determining how much evidence is necessary, we also consider the importance of the control to our audit strategy. As the risk associated with the control increases or the importance of the control to our audit strategy increases, more evidence is needed. More evidence can be obtained by changing the nature and/or extent of our testing.
As the risk associated with the control increases, we can increase the sample size to obtain additional evidence, or likewise reduce the sample size when the risk associated with the control is lower.  [PCAOB] </t>
  </si>
  <si>
    <t>●  統制の運用状況の有効性に関する監査証拠を入手するために、質問とその他の手続との組み合わせて統制テストを立案する － 質問だけでは統制の運用状況の有効性に関する十分な証拠は得られない。
●  運用状況の有効性のテストの手続は、質問、観察、閲覧及び査閲、再実施の組み合わせを含める
●  統制への依拠が大きいほど、より確かな心証が得られる監査証拠を入手する
●  テストの実施に想定外の要素を取り入れ、状況の変化に対応するために、統制テストの種類、時期及び/もしくは範囲に変化を持たせる。
●  統制テストの立案に際して、監査証拠として入手しようと計画している情報の適合性及び信頼性を評価する。  
●以下は、レビュー統制について証拠を集めて正確性をテストする際に実施可能な手続の例示である:
         ● 統制のオーナー及びレビュー担当者に対する質問
         ● 他の者に対する質問
         ● 入手できる場合はフォローアップによって実施された閲覧及び査閲による証拠（例えば電子メールによるやり取り）
         ● アサーションレベルで重要な虚偽表示を発見するために十分な感度のレベルでレビュー統制が実施されたことの確認
         ● 未調整の差異または誤謬が適時に解決/修正されていることの観察
         ● レビューされた事項及びフォローアップが開始された質問の証拠についての査閲及び閲覧
         ● 統制の実施をサポートするドラフトバージョンの文書および項目の査閲及び閲覧
         ● 本来はレビュー統制の一部として実施された関連する統制手続の再実施
●  [PCAOB] We consider the risk associated with the control in determining the nature of testing. [PCAOB]
● [PCAOB] We need more persuasive evidence when the risk associated with a control is higher. The risk associated with a control consists of the risk that the control might not be effective, and if not effective, the risk that a material misstatement, or, for an integrated audit, a material weakness, would result. In determining how much evidence is necessary, we also consider the importance of the control to our audit strategy. As the risk associated with the control increases or the importance of the control to our audit strategy increases, more evidence is needed. More evidence can be obtained by changing the nature and/or extent of our testing. [PCAOB]
●  [PCAOB] As the risk related to the control  increases, we would combine testing methods (e.g., add re-performance to our inquiry and observation procedures) or use methods that provide more persuasive evidence. [PCAOB]
●  CONTROLS 5.2を参照する。</t>
  </si>
  <si>
    <t>● 自動化された統制は取引の開始または処理中に発生したテストデータを含んでいる場合がある。そのようなテストは、ユーザーに情報の問題の可能性を知らせるために処理が停止する結果となる。確実な編集は、１つ以上の情報の更新を通じて状態が解消されるまで、または処理または入力の継続を許可する特定のアクセス権（及び責任）を持つ人によって差異が承認されるまで処理または入力を止める。その他の編集はITアプリケーションユーザの情報の承認または情報の変更を行わない決定により解消されるかもしれない。起こり得るエラーに対処する統制の有効性を決定するために自動化された統制の一部であるテストがどのように解消されるか理解する。一般的に、テストはデータの修正、またはユーザに通知する編集よりも強い統制となる二次承認を要求する。</t>
  </si>
  <si>
    <t>● 承認状況の閲覧及び査閲：ビジネスプロセスの一部のユーザーによって統制される場合、アプリケーションユーザーに割り当てられた特権が、ユーザーの職責に相応しているか、及び適切な職務の分離をサポートしているかどうかについて評価する。
● 環境設定の閲覧及び査閲：システムの環境設定によって、取引は一定の方法で処理される（例えば、もし請求書上の仕入価格が、設定した選定基準値（threshold）を超えるならば、システムがその請求書を保留にする）。この環境設定は、アプリケーションの画面又はレポートによって閲覧することができる。
● 該当する取引のタイプ及び代替処理のそれぞれの再実施：該当する取引が、アプリケーションプログラム又は環境設定に基づいて、どのように処理されるかをテストする。再実施することで、アプリケーション統制が、アプリケーションプログラム又は環境設定に基づいて一貫して運用されていることを確認する。このアプリケーションに対するITGCが［サポートする］である場合、各代替処理に対して1件の再実施テストを実施する。ITGCが［サポートしない］である場合、監査期間を通して複数回の再実施を実施する。CONTROLS 5.2bを参照する。</t>
  </si>
  <si>
    <t>● 環境設定が不可能（non-configurable）-環境設定が不可能な統制は、カスタムコーディングまたはパッケージソフトウェアによって機能的に実現されることによりアプリケーションの中にプログラム化されている。統制が有効に機能していることを評価するため適切な各取引タイプおよび代替処理をテストする。
● 環境設定が可能（configurable）-環境設定が可能なアプリケーション統制は、アプリケーションのセットアップに応じて実施される。特定のアプリケーションのセットアップに基づき、環境設定が可能なアプリケーションは、同一のアプリケーション内の異なる取引の種類ごとに、異なる方法で機能しているかもしれない。統制が経営者によってデザインされた通りに設定されているか評価するためのウォークスルーにおいて、承認状況の閲覧及び査閲および（または）該当する取引のタイプ及び代替処理のそれぞれに関する環境設定をテストする。</t>
  </si>
  <si>
    <t>● 重要な虚偽表示リスクが高い又は主観性が高い領域における内部監査機能による作業の利用計画については、業務執行社員及びエンゲージメント・クオリティ・レビューアー【日本】（日本では、独立審査担当社員）【日本】が承認する。これらの領域における内部監査機能の利用計画については、「監査戦略書（ASM）」の中で文書化する。INTERNAL-AUDIT 1.2.1を参照する。
● 内部監査人またはその他の者による作業の利用を計画している領域における重要な虚偽表示リスク又は主観性の増加に応じて、その領域で内部監査人またはその他の者による作業を利用する根拠を監査調書に盛り込み、それらの領域における再実施及び/又は監督及びレビューの範囲を広げる。
          そのような領域には、以下が含まれる:
          ● 固有リスクが高い又は不正リスクを伴う領域
          ● 当年度又は過年度において、開示すべき重要な不備又は重要な不備が識別された領域
          ● 不正リスクに対応するための手続（例えば、仕訳テスト）
          ● 企業レベルでの内部統制（グループ全体統制を含む）</t>
  </si>
  <si>
    <t xml:space="preserve">● 予備的評価及び内部監査機能の客観性を監査を通じて再評価する。再評価には、品質管理を含むシステマチックで規律のあるアプローチの評価が含まれる。更に、我々の監督結果、内部監査人の作業結果のレビューおよび再実施に基づき、計画した内部監査機能の範囲の適切性を再評価する。
 [US GAAS] Our considerations for the use of internal audit also include consideration of the work of others. We document the extent of involvement of internal auditors and others in our audit in the Using the work of the internal auditors or others form. [US GAAS] </t>
  </si>
  <si>
    <t>● ITアプリケーションをサポートするITプロセスが「有効」又は「依拠可能（reliable）」（IT総合評価は「サポートする」）と判断した場合、アプリケーション統制のテストは1件とすることができる。1件テストは取引のタイプ及び代替処理のそれぞれについてテストすることを意味する。Controls 5.2bを参照する。
● ITアプリケーションをサポートするITプロセスが「非有効」（IT総合評価は「サポートしない」）と判断した場合でも、アプリケーション統制に依拠できる場合がある。IT 12.4を参照する。
       ●  SCOT内の補完的統制はアプリケーション統制の継続的な機能をサポートし、我々は、この補完的統制及び、ITプロセスが「有効」又は「依拠可能（reliable）」な環境についてはアプリケーション統制をテストする。例えば、例えば、ITアプリケーションが価格マスターファイルを使用して請求書の金額を記載し、受注リスト、請求書、品番および単価を作成しているとする。企業がリストの各アイテムのレビューおよび承認について手作業統制を採用している場合、この補完的統制をテストすることができる。
       ● 内部統制監査の対象外の場合、直接テスト戦略に従い、依拠する期間全体に渡ってアプリケーション統制をテストする。例えば、データ分析の監査ソフトウェアを使用してアプリケーション統制を期間を通じてテストする。データ分析によって、電子的な取引ファイル及び会計ファイルに関する一層広範なテストが可能になることがある。
● ベンチマーキング戦略の実施に関するガイダンスについては CONTROLS 5.4c.を参照する。</t>
  </si>
  <si>
    <t>● ITアプリケーションをサポートするITプロセスが「有効」又は「依拠可能（reliable）」（IT総合評価は「サポートする」）と判断した場合、ITDM統制のIT部分のテストは1件とすることができる。1件テストは取引のタイプ及び代替処理のそれぞれについてテストすることを意味する。Controls 5.2bを参照する。
● ITアプリケーションをサポートするITプロセスが「非有効」（IT総合評価は「サポートしない」）と判断した場合でも、ITDM統制のIT部分に依拠できる場合がある。IT 12.4を参照する。
       ●  SCOT内の補完的統制がITDM統制のIT部分の継続的な機能をサポートする場合、この補完的統制をテストする。そしてITプロセスが「有効」又は「依拠可能（reliable）」な環境については、ITDM統制のIT部分をテストする。例えば、ある給与担当者が人事/給与ITアプリケーションの人事情報を変更できるセキュリティ管理者権限がある。人事担当者は裏付けとなる月次の変更レポートに記載されているそれぞれの変更を検証している場合、この補完的統制をテストすることができる。
       ●  非ICFR監査の場合、直接テスト戦略に従い、依拠する期間全体に渡ってITDM統制のIT部分をテストする。例えば、データ分析の監査ソフトウェアを使用してITDM統制のIT部分を期間を通じてテストする。
● ベンチマーキング戦略に関するガイダンスについては CONTROLS 5.4c.を参照する。</t>
  </si>
  <si>
    <t>● 期中基準日に統制テストを実施し、統制に依拠できると結論付けた場合は、以下を実施する:
    • 期中基準日以降のそれらの統制への重要な変更について監査証拠を入手する。
    • 残余期間に対してどのような追加的な監査証拠を入手すべきかを決定する。
    • 質問、観察、閲覧及び査閲、追加のウォークスルー、及び追加の統制テストを適切に組み合わせて実施する。
統制テストを貸借対照表日の6カ月より前に実施する場合には、質問、観察、閲覧及び査閲による理解のアップデートに加えて、追加的なウォークスルー又は統制テストを実施する。
統制のアップデート手続の種類及び範囲は、残余期間においてもはや有効ではなくなる統制のリスクへの対応とすべきである。これらのリスクの要素の例示はCONTROLS 9を参照する。
● [PCAOB - Integrated Audits] In  an integrated audit, we generally perform additional or more extensive tests of controls (i.e., more extensive inquiry, observation and inspection) to update our evaluation of those controls from the time of our interim procedures through period end as compared to the additional testing performed in a financial statement audit, because we need to support our opinion on internal control over financial reporting as at the period end. [PCAOB - Integrated Audits] 
● 期中基準日にテストした統制について入手すべき追加の監査証拠を決定するために以下のリスク要素を考慮する:
          ● 関連するアサーションについて識別された重要な虚偽表示リスクの重要性
          ● 監査証拠の客観性及び説得力
          ● 残余期間の長さ
          ● 統制の実施回数
          ● 統制環境
          ● 監視活動による統制の存在
          ● ITGCの有効性
          ● 識別された統制からの逸脱
          ● 期中基準日にテストした統制に対する変更
          ● 実証手続の結果
          ● [PCAOB] The risk associated with the controls [PCAOB]</t>
  </si>
  <si>
    <t>必要な場合は行を追加する</t>
  </si>
  <si>
    <t>必要な場合は、チェックマークまたは逸脱の記述を含むメモのために行を追加する。</t>
  </si>
  <si>
    <t>追加的かつ詳細な統制テスト</t>
  </si>
  <si>
    <t>追加的なウォークスルー</t>
  </si>
  <si>
    <t>他のものすべて</t>
  </si>
  <si>
    <t>適用される監査基準：</t>
  </si>
  <si>
    <t>アクセスは適切ですか?</t>
  </si>
  <si>
    <t>値は適切ですか?</t>
  </si>
  <si>
    <t>テスト手続の結果、統制の特性はアサーションレベルで重要な虚偽表示を防止、又は発見及び是正するためにデザインされ、依拠期間全体にわたって存在または機能していたについて結論づける</t>
  </si>
  <si>
    <t>SCOTフォームに文書化された通り</t>
  </si>
  <si>
    <t>例外なく満たされた特性</t>
  </si>
  <si>
    <t>計算された再実施割合</t>
  </si>
  <si>
    <t>統制の実行の処理を中止しますか？または例外レポートを作成しますか？</t>
  </si>
  <si>
    <t>妥当性確認停止のクリア    ("+" をクリックするとガイダンスが展開される)</t>
  </si>
  <si>
    <t>内部監査機能等を利用する際のより主観性が高い統制を含むリスク高の考慮事項     ("+" をクリックするとガイダンスが展開される)</t>
  </si>
  <si>
    <t>統制テストのアップデートを決定するリスク要因の考慮事項     ("+" をクリックするとガイダンスが展開される)</t>
  </si>
  <si>
    <t>コンテンツ</t>
  </si>
  <si>
    <t>統制</t>
  </si>
  <si>
    <t>統制のタイプ：</t>
  </si>
  <si>
    <t>現在の値</t>
  </si>
  <si>
    <t>テスト日付</t>
  </si>
  <si>
    <t>日付/期間</t>
  </si>
  <si>
    <t>文書または閲覧及び査閲された物理的な証拠についての記述</t>
  </si>
  <si>
    <t>逸脱が不備と判断されたか、及び、SOCDに含まれる情報の記述</t>
  </si>
  <si>
    <t>ITアプリケーションの複数インスタンスが同一の機能を持っているかどうか（例えば、複数インスタンスが同一の機能を有しているかの検証のため査閲及び閲覧されたプログラムのオブジェクト、コード、バージョン数）を判断するために実施された手続について記載または参照する</t>
  </si>
  <si>
    <t>逸脱の種類及び原因についての理解、及び、逸脱がランダムなものと評価できる確かな証拠についての記述</t>
  </si>
  <si>
    <t>無効化が発生する状況及び無効化に関連するすべてのプロセス、ポリシーまたは統制の記述</t>
  </si>
  <si>
    <t>観察した統制手続の記載</t>
  </si>
  <si>
    <t>システム内のどのロールが、アプリケーションの機能またはITDM統制に影響を与える設定変更のアクセスを付与するかを判断するために実施した手続を記載する</t>
  </si>
  <si>
    <t>アプリケーション統制の機能性に関する各設定の適切性評価のために実施した手続を記載する</t>
  </si>
  <si>
    <t>バリデーションエディットを消去する能力を付与するロールへのアクセスを有する各ユーザーの適切性評価のために実施した手続を記載する</t>
  </si>
  <si>
    <t>アプリケーションの機能またはITDM統制に影響を与える設定変更の能力を付与する各ユーザーのロールの適切性評価のために実施した手続を記載する</t>
  </si>
  <si>
    <t>システム内のどのロールがバリデーションエディットを消去するアクセスを付与するかの判断に使用したプロセスを記載する</t>
  </si>
  <si>
    <t>質問を行った担当者及び理解の確認のために利用した取引及び統制の実例を含む、実施したウォークスルー手続を記載する</t>
  </si>
  <si>
    <t>記述</t>
  </si>
  <si>
    <t>サンプル項目に関する記述</t>
  </si>
  <si>
    <t>テストのための母集団（適切かつ十分か）を決定するために実施した手続、サンプル数およびサンプル抽出方法を記載する</t>
  </si>
  <si>
    <t>デザインの属性</t>
  </si>
  <si>
    <t>テストサンプルとして複数インスタンスの同一ITアプリケーションが同じ機能性を有しているか決定する</t>
  </si>
  <si>
    <t>補完的統制を認識し、テストしたか？</t>
  </si>
  <si>
    <t>レビューまたは再実施した内容に基づく結論に同意するか？</t>
  </si>
  <si>
    <t>逸脱がランダムなものであるとする確かな心証を得たか？</t>
  </si>
  <si>
    <t>続行しますか？</t>
  </si>
  <si>
    <t>サンプルの決定におけるその他の特別な考慮事項を文書化する</t>
  </si>
  <si>
    <t>ランダムな統制の逸脱に対処するため、どのようにサンプルを拡大したか文書化する</t>
  </si>
  <si>
    <t>機能性が異なる場合の監査上の対応を文書化する</t>
  </si>
  <si>
    <t>不適切なアクセスに関するインスタンス（アクセスを監視する統制の考慮を含む）への監査上の対応を文書化する</t>
  </si>
  <si>
    <t>不適切なアクセスに関するインスタンス（編集を消去するアクセスの使用を監視する統制の考慮事項を含む）への監査上の対応を文書化する</t>
  </si>
  <si>
    <t>不適切な設定のインスタンスへの監査上の対応を文書化する</t>
  </si>
  <si>
    <t>アップデート手続の種類、時期および範囲を決定するためのリスク要素の考慮事項を文書化する</t>
  </si>
  <si>
    <t>使用した母集団及び母集団の網羅性を決定するための手続を文書化する</t>
  </si>
  <si>
    <t>サンプル抽出法（選定したサンプルを含む）を文書化する</t>
  </si>
  <si>
    <t>再実施のための抽出及び再実施した手続を文書化する、または他の調書を参照する。</t>
  </si>
  <si>
    <t>統制の機能に影響する設定を評価する　("+" をクリックするとガイダンスが展開される)</t>
  </si>
  <si>
    <t>上記の質問に対して”はい”と回答した内容について監査上の対応を説明する</t>
  </si>
  <si>
    <t>統制テストの範囲    ("+" をクリックするとガイダンスが展開される)</t>
  </si>
  <si>
    <t>内部監査機能によって実施された統制テストの範囲</t>
  </si>
  <si>
    <t>フィールド</t>
  </si>
  <si>
    <t>アプリケーション統制：（例）取引のタイプ、代替処理、アクセス制限</t>
  </si>
  <si>
    <t>例えばプロセスに関連する重要な変更がありますか？ITシステムに関連する新規または重要な変更がありますか？業務のロールまたは責任に変更がありますか？</t>
  </si>
  <si>
    <t>統制テストの時期のためのガイダンスはCONTROLS 5.3を参照する。
テストが期末日前に期間を通じて実施された場合は、アップデート手続をアップデートテストシートを利用して文書化する。CONTROLS 9を参照する。</t>
  </si>
  <si>
    <t>頻度：</t>
  </si>
  <si>
    <t>ガイダンス</t>
  </si>
  <si>
    <t>内部監査機能は適切なテスト戦略（統制のデザイン上の属性の適切性のテストを含む）を用いましたか？</t>
  </si>
  <si>
    <t>前回のテスト以降において統制に変更がなされましたか？</t>
  </si>
  <si>
    <t>識別された統制の不備がSOCDに含まれていますか？</t>
  </si>
  <si>
    <t>テストをサポートするためのスクリーン/メニュー、フィールド及び値のリストを作成するために使用された証拠を識別する</t>
  </si>
  <si>
    <t>ロール、ユーザー、肩書のリストを作成するために使用された証拠を識別する</t>
  </si>
  <si>
    <t>理解をサポートするために、ロール、ユーザおよび肩書を作成するために使用された証拠を識別する</t>
  </si>
  <si>
    <t>テストをサポートするために用いられた証拠を識別する、もしくはテストをリファレンスする</t>
  </si>
  <si>
    <t>評価される担当者及びこのロールへのアクセスの適切性についての結論を識別する</t>
  </si>
  <si>
    <t>統制の主要な設定可能な特性及び設定の適切性を認識する</t>
  </si>
  <si>
    <t>同一アプリケーションの複数インスタンスが存在していれば、各スコープ内インスタンスに対しアプリケーション統制およびITDM統制のための分離したテストが要求される。インスタンスが同一の機能を持つことを確認するためにテストが実施されていれば、これらの結論をサポートするために実施された手続を文書化するか、文書へのリファレンスを追加する。</t>
  </si>
  <si>
    <t>「いいえ」の場合は、理由および実施した追加的な独自の手続を記載する</t>
  </si>
  <si>
    <t>「いいえ」の場合は、内部監査機能によって認識された不備が統制の運用状況の有効性の結論に関連しない理由について記載する</t>
  </si>
  <si>
    <t>「いいえ」の場合は理由を説明し、対応のために実施した追加手続（これらの手続の結果を含む）を説明する、または結論を変更する</t>
  </si>
  <si>
    <t>本番環境以外でテストが実施される場合、環境が本番環境と同一の機能を有することの妥当性を確認するために実施した手続を文書化する、もしくは調書へのリファレンスを行う。</t>
  </si>
  <si>
    <t>統制が有効に機能していない、もしくは不備が存在すると結論づけた場合、それをSOCDに含める。
[US GAAS] EY Form U220 Summary of control deficiencies (SOCD) serves as the primary documentation of our conclusions regarding the evaluation of identified deficiencies both individually and in the aggregate.</t>
  </si>
  <si>
    <t>「はい」の場合</t>
  </si>
  <si>
    <t>統制に関する情報</t>
  </si>
  <si>
    <t>閲覧及び査閲された情報</t>
  </si>
  <si>
    <t>統制の逸脱に用いられるIPE</t>
  </si>
  <si>
    <t>質問の回答者（回答内容更新の対象となったすべての担当者およびその役職）：</t>
  </si>
  <si>
    <t>統制の実施に関する質問</t>
  </si>
  <si>
    <t>承認状況の閲覧及び査閲</t>
  </si>
  <si>
    <t>環境設定の閲覧及び査閲</t>
  </si>
  <si>
    <t>物的な証拠の査閲及び閲覧</t>
  </si>
  <si>
    <t>関連する文書の査閲及び閲覧</t>
  </si>
  <si>
    <t>インスタンス</t>
  </si>
  <si>
    <t>四半期のテストか？期末のテストか？</t>
  </si>
  <si>
    <t>内部監査機能 - 統制に関する手続の結果、内部監査機能の専門的能力、客観性、または品質管理を含むシステマチックで規律のあるアプローチの適用が、我々の当初の評価と一致していますか？</t>
  </si>
  <si>
    <t>内部監査機能 - 彼らのテスト、統制及び専門的能力と品質管理を含む客観性またはシステマチックで規律のあるアプローチの適用に関する再評価についての我々の結論</t>
  </si>
  <si>
    <t>ITDM統制においては、アプリケーションによって作成されたIPEが常に用いられる - 統制のタイプがITDMの時は、当該欄は「はい」が入力される</t>
  </si>
  <si>
    <t>統制の逸脱においてIPEはありますか？</t>
  </si>
  <si>
    <t>統制は、より高リスクまたはより主観性が高いですか？</t>
  </si>
  <si>
    <t>環境設定が可能な統制ですか？</t>
  </si>
  <si>
    <t>テストは複数インスタンスにおける１つのインスタンスとして実施され、複数インスタンスに役立つためのテストとして意図されていますか？</t>
  </si>
  <si>
    <t>ITアプリケーション</t>
  </si>
  <si>
    <t>役職</t>
  </si>
  <si>
    <t>無効化を監視するために使用される統制およびプロセスを記載する（これらの統制がテストされる箇所へのリファレンスも含める）</t>
  </si>
  <si>
    <t>アプリケーション統制またはITDM統制に関する統制テストの種類および時期     ("+" をクリックするとガイダンスが展開される)</t>
  </si>
  <si>
    <t>エンゲージメントの種類：</t>
  </si>
  <si>
    <t>統制テストの種類      ("+" をクリックするとガイダンスが展開される)</t>
  </si>
  <si>
    <t>統制テストのアップデートの種類      ("+" をクリックするとガイダンスが展開される)</t>
  </si>
  <si>
    <t>残余期間に係る統制テスト手続のアップデートの種類（確かな心証が得られる程度が低いものから順に）:
● 質問 - 特定の統制を実施する担当者及びそれを直接監視する担当者（経営管理者及びその他の担当者）に質問する。以下のいずれかの兆候が無いかどうかを確認する：
          ● 特定の統制のデザインもしくは運用の変更
          ● 職責又は権限のレベルの変更
          ● 主要な担当者又はITアプリケーションの変更
          ● 新しいITアプリケーション、方針又は手続の導入
          ● 残余期間中の関連する勘定科目における誤謬
          ● テストした統制の継続的な有効性に関する結論に影響を及ぼすその他の重要な変更
● 観察 - 残余期間に実施された統制手続を観察する。
● 閲覧及び査閲 - 残余期間中の関連する時期に作成された物理的な証拠を閲覧及び査閲する。（報告及びその報告をレビューした証拠、差異調整のレビュー、議事録に目を通すなど）
● 追加のウォークスルー - リスク要因（例えば、質問、観察又は閲覧及び査閲からの証拠が、期中基準日に入手した監査証拠の適合性、又は、テストした統制の運用状況の有効性に関する結論に影響を及ぼし得る重要な変更を示唆している）に対応するための特定の統制又は一連の統制に対して追加のウォークスルー手続を実施する。
● 追加の統制テスト - 上記のリスク要因に対応するため、追加の統制テストを実施する。</t>
  </si>
  <si>
    <t>再実施の対象となる項目数</t>
  </si>
  <si>
    <t>実施されている統制の観察</t>
  </si>
  <si>
    <t>統制のアップデート後における運用状況の有効性に関する結論：</t>
  </si>
  <si>
    <t>期中のテスト日における運用状況の有効性に関する結論</t>
  </si>
  <si>
    <t>依拠対象期間における運用状況の有効性に関する結論</t>
  </si>
  <si>
    <t>運用状況の有効性に関する結論</t>
  </si>
  <si>
    <t>当初の統制テスト</t>
  </si>
  <si>
    <t>内部監査機能によって実施されたテスト手続の種類、時期および範囲の評価</t>
  </si>
  <si>
    <t>統制テストによってカバーされた期間：   (MM/YYYY)から</t>
  </si>
  <si>
    <t>統制テストによってカバーされた期間：   (MM/YYYY)まで</t>
  </si>
  <si>
    <t>カバーされた期間：  (MM/YYYY)から</t>
  </si>
  <si>
    <t>カバーされた期間：  (MM/YYYY)まで</t>
  </si>
  <si>
    <t>補完的統制名をリファレンスする</t>
  </si>
  <si>
    <t>調書のリファレンス、または結論をサポートするために実施された手続に関する記載</t>
  </si>
  <si>
    <t>IPEリスクへの対応方法を記載した監査調書へのリファレンス</t>
  </si>
  <si>
    <t>テストグリッド及びテストプログラムが含まれる監査調書もしくはその他の適切な文書化へのリファレンス</t>
  </si>
  <si>
    <t>関連するITアプリケーション</t>
  </si>
  <si>
    <t>関連するSCOT</t>
  </si>
  <si>
    <t>統制の再実施</t>
  </si>
  <si>
    <t>内部統制監査機能によって実施された統制テストの再実施</t>
  </si>
  <si>
    <t>レポート名</t>
  </si>
  <si>
    <t>手続結果</t>
  </si>
  <si>
    <t>期中財務情報のレビュー</t>
  </si>
  <si>
    <t>ロール/プロファイル/グループ</t>
  </si>
  <si>
    <t>同一の機能か?</t>
  </si>
  <si>
    <t>サンプル項目数</t>
  </si>
  <si>
    <t>サンプル数</t>
  </si>
  <si>
    <t>サンプル数?</t>
  </si>
  <si>
    <t>画面/メニュー</t>
  </si>
  <si>
    <t>該当するものをすべて選択</t>
  </si>
  <si>
    <t>未定</t>
  </si>
  <si>
    <t>テスト環境</t>
  </si>
  <si>
    <t>テスト手続</t>
  </si>
  <si>
    <t xml:space="preserve">テスト戦略 </t>
  </si>
  <si>
    <t>テスト戦略 - 内部監査機能の作業の利用     ("+" をクリックするとガイダンスが展開される)</t>
  </si>
  <si>
    <t>内部監査機能を利用する際のテスト戦略および作業計画</t>
  </si>
  <si>
    <t>統制テスト</t>
  </si>
  <si>
    <t>母集団は統制テストのために網羅的で適切である必要がある（SAMPLE 3.2）。
母集団内の全てのサンプリング単位に抽出の機会が与えられるような方法でサンプルを抽出する。サンプル抽出方法（無作為抽出法、系統的抽出法、任意抽出法）を決定するためにSAMPLE 2.4を参照する。
記述や統制の頻度から明らかではない場合、例えば発生割合に基づく（すなわち統制の頻度が「その他」）の場合は、どのようにサンプル数を決定したか記載する。
アプリケーション統制については、どのようにIT総合評価を考慮したか文書化する。</t>
  </si>
  <si>
    <t>内部監査人からダイレクト・アシスタンスを受ける場合には状況を記載する。INTERNAL-AUDIT 2を参照する。</t>
  </si>
  <si>
    <t>キーとなるものをマーク</t>
  </si>
  <si>
    <t>統制テストの時期</t>
  </si>
  <si>
    <t>統制テストのアップデートの時期</t>
  </si>
  <si>
    <t>内部監査機能によって実施された統制テストの時期</t>
  </si>
  <si>
    <t>ヒント及びガイダンス</t>
  </si>
  <si>
    <t>再実施された統制テスト手続</t>
  </si>
  <si>
    <t>実施されるべき統制テスト手続</t>
  </si>
  <si>
    <t>翻訳言語を空欄にすることはできません。ドロップダウンより選択してください。</t>
  </si>
  <si>
    <t>翻訳言語：</t>
  </si>
  <si>
    <t>統制テストのアップデート</t>
  </si>
  <si>
    <t>テスト手続のアップデート（確かな心証が得られる程度が低いものから順に）</t>
  </si>
  <si>
    <t>ユーザー</t>
  </si>
  <si>
    <t>内部監査機能による作業の利用：</t>
  </si>
  <si>
    <t>調書ref</t>
  </si>
  <si>
    <t>調書リファレンス</t>
  </si>
  <si>
    <t>内部監査機能が作成した調書に直接我々の手続を記載し、我々の調書とすることもある</t>
  </si>
  <si>
    <t>母集団内の全てのサンプリング単位に抽出の機会が与えられるような方法でサンプルを抽出する。サンプル抽出方法（無作為抽出法、系統的抽出法、任意抽出法）を決定するためにSAMPLE 2.4を参照する。
記述や統制の頻度から明らかではない場合、例えば発生割合に基づく（すなわち統制の頻度が「その他」）の場合は、どのようにサンプル数を決定したか記載する。</t>
  </si>
  <si>
    <t>IPEリスク（ITDM統制の自動化された部分に関連するIPEリスクを含む）にどのように対応したかを別の調書に文書化する</t>
  </si>
  <si>
    <t>統制テストのアップデートにおいて逸脱が発見されたか？</t>
  </si>
  <si>
    <t>テストにおいて逸脱が発見されたか？</t>
  </si>
  <si>
    <t>不正行為、誤謬または経営管理者による無効化の可能性の増加の兆候があったか？</t>
  </si>
  <si>
    <t>内部監査機能が到達した運用状況の有効性に関する結論</t>
  </si>
  <si>
    <t>調書リファレンス：</t>
  </si>
  <si>
    <t>期中テストへの調書リファレンス</t>
  </si>
  <si>
    <t>SCOT formへの調書リファレンス</t>
  </si>
  <si>
    <t>決算日：</t>
  </si>
  <si>
    <t>はい</t>
    <phoneticPr fontId="22"/>
  </si>
  <si>
    <t>いいえ</t>
    <phoneticPr fontId="22"/>
  </si>
  <si>
    <t>有効</t>
    <rPh sb="0" eb="2">
      <t>ユウコウ</t>
    </rPh>
    <phoneticPr fontId="22"/>
  </si>
  <si>
    <t>非有効</t>
    <rPh sb="0" eb="1">
      <t>ヒ</t>
    </rPh>
    <rPh sb="1" eb="3">
      <t>ユウコウ</t>
    </rPh>
    <phoneticPr fontId="22"/>
  </si>
  <si>
    <t>米国</t>
    <rPh sb="0" eb="2">
      <t>ベイコク</t>
    </rPh>
    <phoneticPr fontId="22"/>
  </si>
  <si>
    <t>その他</t>
    <rPh sb="2" eb="3">
      <t>タ</t>
    </rPh>
    <phoneticPr fontId="22"/>
  </si>
  <si>
    <t>財務諸表の監査</t>
  </si>
  <si>
    <t>ITアプリケーション統制</t>
    <rPh sb="10" eb="12">
      <t>トウセイ</t>
    </rPh>
    <phoneticPr fontId="22"/>
  </si>
  <si>
    <t>ITDM統制</t>
  </si>
  <si>
    <t>日次</t>
    <rPh sb="0" eb="2">
      <t>ニチジ</t>
    </rPh>
    <phoneticPr fontId="22"/>
  </si>
  <si>
    <t>週次</t>
    <rPh sb="0" eb="1">
      <t>シュウ</t>
    </rPh>
    <rPh sb="1" eb="2">
      <t>ジ</t>
    </rPh>
    <phoneticPr fontId="22"/>
  </si>
  <si>
    <t>月次</t>
    <rPh sb="0" eb="2">
      <t>ゲツジ</t>
    </rPh>
    <phoneticPr fontId="22"/>
  </si>
  <si>
    <t>四半期毎</t>
    <rPh sb="0" eb="3">
      <t>シハンキ</t>
    </rPh>
    <rPh sb="3" eb="4">
      <t>ゴト</t>
    </rPh>
    <phoneticPr fontId="22"/>
  </si>
  <si>
    <t>年次</t>
    <rPh sb="0" eb="2">
      <t>ネンジ</t>
    </rPh>
    <phoneticPr fontId="22"/>
  </si>
  <si>
    <t>期中</t>
    <rPh sb="0" eb="2">
      <t>キチュウ</t>
    </rPh>
    <phoneticPr fontId="22"/>
  </si>
  <si>
    <t>期末</t>
    <rPh sb="0" eb="2">
      <t>キマツ</t>
    </rPh>
    <phoneticPr fontId="22"/>
  </si>
  <si>
    <t>本番</t>
    <rPh sb="0" eb="2">
      <t>ホンバン</t>
    </rPh>
    <phoneticPr fontId="22"/>
  </si>
  <si>
    <t>開発/テスト</t>
    <rPh sb="0" eb="2">
      <t>カイハツ</t>
    </rPh>
    <phoneticPr fontId="22"/>
  </si>
  <si>
    <t>The nature and extent of the audit procedures we perform on the work of the internal audit function depend on our earlier evaluation of the amount of judgment involved, our combined risk assessments and the objectivity and competence of the internal audit function.
We reperform some of the work of the internal audit function (refer to EY GAM INTERNAL-AUDIT 1.4).
Our considerations for the use of internal audit also include consideration of the work of others, when permitted. We document the extent of involvement of internal auditors and others in our audit in EY Form 263GL Using the work of the internal auditors or others form. Note: We are only permitted to rely on the work of others when auditing under PCAOB standards (refer to INTERNAL-AUDIT 3 for other audits when the work of others may be used).</t>
  </si>
  <si>
    <t>关于内部审计功能的工作，我们执行的程序之性质和范围取决于我们之前评估需要做出多少判断、我们的综合风险评估，和内部审计功能的客观性和能力。
我们重新执行内部审计功能的某些工作（参见安永 GAM《内部审计1.4》）。
我们对使用内部审计的考虑包括，在允许时，对其他人员工作的考虑。我们在安永表格《263GL 使用内部审计师或其他人员表格》中记录内部审计师和其他人员的参与范围。备注：我们仅允许在执行PCAOB准则下的审计时，才能依赖其他人员的工作（参见《内部审计3》以获知可以使用其他人员工作的其他审计）。</t>
  </si>
  <si>
    <t>我們對於內部稽核之工作所執行之查核程序之性質及範圍取決於我們先前對於所涉入主觀判斷之數量、綜合風險評估(CRA)、內部稽核人員之客觀性與適任性的評估。我們重新執行內部稽核職能之部分工作(請參閱EY GAM INTERNAL-AUDIT 1.4)。我們對於內部稽核工作之採用亦包括其他人員之工作(當準則允許時)，我們應將查核中對於內部稽核與其他人員工作之參與程度記錄在EY Form 263GL Using the work of the internal auditors or others form，請注意：我們僅有在執行PCAOB查核時，始被允許採用其他人員之工作(請參閱INTERNAL-AUDIT 3)。</t>
  </si>
  <si>
    <t xml:space="preserve">Характер и объем аудиторских процедур, выполняемых нами в отношении результатов работ службы внутреннего аудита, зависит от проведенной ранее оценки объема использованных суждений, нашей комбинированной оценки рисков, а также объективности и уровня компетентности службы внутреннего аудита.
Мы повторно выполняем некоторые работы, выполненные службой внутреннего аудита (см. ЭЯ ГАМ ВНУТРЕННИЙ-АУДИТ 1.4).
Рассмотрение нами вопроса об использовании результатов работы службы внутреннего аудита также включает рассмотрение вопроса об использовании результатов работы других лиц (если допустимо). Мы документально отражаем степень использования результатов работы внутренних аудиторов и других лиц в форме ЭЯ 263ГЛ "Использование результатов работы внутренних аудиторов или других лиц". Примечание: использовании результатов работы других лиц допустимо только при проведении аудита в соответствии со стандартами ПСАОБ (см. ВНУТРЕННИЙ-АУДИТ 3 для получения инструкций в отношении прочих аудиторских проверок, в ходе которых допускается использование результатов работы других лиц).
</t>
  </si>
  <si>
    <t xml:space="preserve">内部監査機能による作業に対して我々が実施する監査手続の種類及び範囲は、必要とする判断の量、結合リスク評価（CRA）、内部監査機能の客観性及び専門的能力について、我々がこれまでに行った評価によって異なる。
我々は、内部監査機能による作業の一部を再実施する（EY GAM INTERNAL-AUDIT 1.4参照）。
内部監査の利用に関する検討事項には、認められる場合、他の者の作業の利用に関する検討事項も含まれる。我々は、内部監査人及び他の者の関与の範囲について、263GL内部監査機能等の作業の利用フォームに文書化する。
注：他の者の作業の利用は、PCAOBの監査基準に基づく監査において認められている(INTERNAL-AUDIT 3 参照)。【日本】金融商品取引法の内部統制監査を実施する際には、“他の者”の作業を利用することができる。監査・保証実務委員会報告第82号参照。【日本】
</t>
  </si>
  <si>
    <t>Summit Equipment</t>
  </si>
  <si>
    <t>31 December 20X6</t>
  </si>
  <si>
    <t>The assistant purchasing manager reviews the 3-way matching performed by the purchase clerk</t>
  </si>
  <si>
    <t>Purchase to pay</t>
  </si>
  <si>
    <t>SAP</t>
  </si>
  <si>
    <t>01/20x6</t>
  </si>
  <si>
    <t xml:space="preserve">Not applicable. Only one instance is in use. </t>
  </si>
  <si>
    <t>12/20x6</t>
  </si>
  <si>
    <t>01/05/20x7</t>
  </si>
  <si>
    <t>Not applicable</t>
  </si>
  <si>
    <t>25 (minimum sample size) for populations performed many times per day.</t>
  </si>
  <si>
    <t>The assistant purchasing manager checks the GRN dates and ties it up with the application date per Inventory module.</t>
  </si>
  <si>
    <t>The purchasing clerk signs the three-way matching report as preparer and submits it to the assistant purchasing manager for approval.</t>
  </si>
  <si>
    <t>2 May 20x6</t>
  </si>
  <si>
    <t>14 March 20x6</t>
  </si>
  <si>
    <t>25 November 20x6</t>
  </si>
  <si>
    <t>29 August 20x6</t>
  </si>
  <si>
    <t>12 May 20x6</t>
  </si>
  <si>
    <t>15 December 20x6</t>
  </si>
  <si>
    <t>12 April 20x6</t>
  </si>
  <si>
    <t>4 January 20x6</t>
  </si>
  <si>
    <t>13 September 20x6</t>
  </si>
  <si>
    <t>21 January 20x6</t>
  </si>
  <si>
    <t>6 December 20x6</t>
  </si>
  <si>
    <t>27 July 20x6</t>
  </si>
  <si>
    <t>8 September 20x6</t>
  </si>
  <si>
    <t>3 August 20x6</t>
  </si>
  <si>
    <t>13 December 20x6</t>
  </si>
  <si>
    <t>16 November 20x6</t>
  </si>
  <si>
    <t>22 April 20x6</t>
  </si>
  <si>
    <t>26 May 20x6</t>
  </si>
  <si>
    <t>4 May 20x6</t>
  </si>
  <si>
    <t>10 May 20x6</t>
  </si>
  <si>
    <t>12 July 20x6</t>
  </si>
  <si>
    <t>27 January 20x6</t>
  </si>
  <si>
    <t>14 November 20x6</t>
  </si>
  <si>
    <r>
      <t>FAIT has tested the ITGC for the SAP system and concluded it to be "support". Report generated is concluded to be automated and application setting cannot be configured related to the PO-GRN report used in preparing the Matching Report (PO-GRN-APV). Refer to ITGC Test (</t>
    </r>
    <r>
      <rPr>
        <b/>
        <i/>
        <sz val="9"/>
        <rFont val="Arial"/>
        <family val="2"/>
      </rPr>
      <t>not included for learning purposes).</t>
    </r>
  </si>
  <si>
    <t xml:space="preserve">1.) Inquire with the assistant purchasing manager the expected timeline between receipt of goods and input in the system and check whether it is consistent with understanding and the company's policy. 2.) Inspect the matching report and check evidence of review of application date. 3.) Reperform the tie-up procedures performed by checking the date received per GRN and the application date per Inventory module and note for any dates that have exceptions (e.g., application date is earlier than GRN date, lag time is +3). </t>
  </si>
  <si>
    <t>1.) Inquire the timeline of review being performed by the assistant purchasing manager and check compliance with company policy. 2.) Inspect the date/time stamp in the matching report of both the preparer and the reviewer and verify that the review was performed prior to the processing of the AP invoice.</t>
  </si>
  <si>
    <t>N/A</t>
  </si>
  <si>
    <t>We have inquired with the assistant purchasing manager the review procedures performed on exceptions noted on the matching between PO, GRN and Invoice. For the selected sample report inspected, no exceptions were noted by the purchasing clerk and the assistant purchasing manager.  As such, control attribute is not applicable.</t>
  </si>
  <si>
    <t>The assistant purchasing manager notes for any exception noted by the purchasing clerk and investigates any exception noted.</t>
  </si>
  <si>
    <t>ToC 20.2.1</t>
  </si>
  <si>
    <t>ToC 20.2.2</t>
  </si>
  <si>
    <t>ToC 20.2.3</t>
  </si>
  <si>
    <t>ToC 20.2.4</t>
  </si>
  <si>
    <t>ToC 20.2.5</t>
  </si>
  <si>
    <t>ToC 20.2.6</t>
  </si>
  <si>
    <t>ToC 20.2.7</t>
  </si>
  <si>
    <t>ToC 20.2.8</t>
  </si>
  <si>
    <t>ToC 20.2.9</t>
  </si>
  <si>
    <t>ToC 20.2.10</t>
  </si>
  <si>
    <t>ToC 20.2.11</t>
  </si>
  <si>
    <t>ToC 20.2.12</t>
  </si>
  <si>
    <t>ToC 20.2.13</t>
  </si>
  <si>
    <t>ToC 20.2.14</t>
  </si>
  <si>
    <t>ToC 20.2.15</t>
  </si>
  <si>
    <t>ToC 20.2.16</t>
  </si>
  <si>
    <t>ToC 20.2.17</t>
  </si>
  <si>
    <t>ToC 20.2.18</t>
  </si>
  <si>
    <t>ToC 20.2.19</t>
  </si>
  <si>
    <t>ToC 20.2.20</t>
  </si>
  <si>
    <t>ToC 20.2.21</t>
  </si>
  <si>
    <t>ToC 20.2.22</t>
  </si>
  <si>
    <t>ToC 20.2</t>
  </si>
  <si>
    <t>SCOT 20.2</t>
  </si>
  <si>
    <t>PO 487902356</t>
  </si>
  <si>
    <t>PO 487902963</t>
  </si>
  <si>
    <t>PO 487902448</t>
  </si>
  <si>
    <t>PO 487802760</t>
  </si>
  <si>
    <t>PO 487802480</t>
  </si>
  <si>
    <t>PO 487802992</t>
  </si>
  <si>
    <t>PO 487802374</t>
  </si>
  <si>
    <t>PO 487802140</t>
  </si>
  <si>
    <t>PO 487802800</t>
  </si>
  <si>
    <t>PO 487802209</t>
  </si>
  <si>
    <t>PO 487802984</t>
  </si>
  <si>
    <t>PO 487802683</t>
  </si>
  <si>
    <t>PO 487802777</t>
  </si>
  <si>
    <t>PO 487802705</t>
  </si>
  <si>
    <t>PO 487802989</t>
  </si>
  <si>
    <t>PO 487802139</t>
  </si>
  <si>
    <t>PO 487802954</t>
  </si>
  <si>
    <t>PO 487802402</t>
  </si>
  <si>
    <t>PO 487802505</t>
  </si>
  <si>
    <t>PO 487802456</t>
  </si>
  <si>
    <t>PO 487802460</t>
  </si>
  <si>
    <t>PO 487802625</t>
  </si>
  <si>
    <t>PO 487802220</t>
  </si>
  <si>
    <t>PO 487802468</t>
  </si>
  <si>
    <t>PO 487802948</t>
  </si>
  <si>
    <r>
      <t>On a daily basis, the purchasing clerk prepares a Matching Report (PO-GRN-</t>
    </r>
    <r>
      <rPr>
        <b/>
        <sz val="9"/>
        <rFont val="Arial"/>
        <family val="2"/>
      </rPr>
      <t>Invoice</t>
    </r>
    <r>
      <rPr>
        <sz val="9"/>
        <rFont val="Arial"/>
        <family val="2"/>
      </rPr>
      <t xml:space="preserve">) by extracting the PO-GRN report from the inventory module and manually enters the respective invoice. The purchasing clerk agrees the purchase order (PO) as per Matching Report with the PO </t>
    </r>
    <r>
      <rPr>
        <b/>
        <sz val="9"/>
        <rFont val="Arial"/>
        <family val="2"/>
      </rPr>
      <t>on file</t>
    </r>
    <r>
      <rPr>
        <sz val="9"/>
        <rFont val="Arial"/>
        <family val="2"/>
      </rPr>
      <t xml:space="preserve">, the GRN stamped and signed by the supervisory warehouse employee, and the invoice (goods purchases, quantity, unit price and supplier's name). The assistant purchasing manager reviews the work performed by the purchasing clerk by </t>
    </r>
    <r>
      <rPr>
        <b/>
        <sz val="9"/>
        <rFont val="Arial"/>
        <family val="2"/>
      </rPr>
      <t xml:space="preserve">checking the mathematical accuracy and </t>
    </r>
    <r>
      <rPr>
        <sz val="9"/>
        <rFont val="Arial"/>
        <family val="2"/>
      </rPr>
      <t>reperforming the matching done.</t>
    </r>
  </si>
  <si>
    <r>
      <t xml:space="preserve">Population is based on the </t>
    </r>
    <r>
      <rPr>
        <b/>
        <sz val="9"/>
        <rFont val="Arial"/>
        <family val="2"/>
      </rPr>
      <t xml:space="preserve">PO closed and partially closed as </t>
    </r>
    <r>
      <rPr>
        <sz val="9"/>
        <rFont val="Arial"/>
        <family val="2"/>
      </rPr>
      <t>generated from the AP module.</t>
    </r>
  </si>
  <si>
    <r>
      <t xml:space="preserve">On a daily basis, the assistant purchasing manager reviews the three-way matching performed by the purchase clerk between purchase order (PO), goods received note (GRN) and invoice.  The assistant purchasing manager performs the review by checking the Matching Report (PO-GRN-APV) prepared by the purchasing clerk by extracting the PO-GRN report from the inventory module and manually enters the respective Invoice. The assistant purchasing manager reperforms the procedures performed by the purchasing clerk by </t>
    </r>
    <r>
      <rPr>
        <b/>
        <sz val="9"/>
        <rFont val="Arial"/>
        <family val="2"/>
      </rPr>
      <t xml:space="preserve">checking the mathematical accuracy of the documents, </t>
    </r>
    <r>
      <rPr>
        <sz val="9"/>
        <rFont val="Arial"/>
        <family val="2"/>
      </rPr>
      <t>tracing the purchase order to the</t>
    </r>
    <r>
      <rPr>
        <b/>
        <sz val="9"/>
        <rFont val="Arial"/>
        <family val="2"/>
      </rPr>
      <t xml:space="preserve"> file</t>
    </r>
    <r>
      <rPr>
        <sz val="9"/>
        <rFont val="Arial"/>
        <family val="2"/>
      </rPr>
      <t xml:space="preserve"> and the stamped and signed GRN, noting the date of the stamp coinciding with the application receipt date. The assistant purchasing manager then manually matches this to the </t>
    </r>
    <r>
      <rPr>
        <b/>
        <sz val="9"/>
        <rFont val="Arial"/>
        <family val="2"/>
      </rPr>
      <t>vendor</t>
    </r>
    <r>
      <rPr>
        <sz val="9"/>
        <rFont val="Arial"/>
        <family val="2"/>
      </rPr>
      <t xml:space="preserve"> invoice, agreeing the goods purchases, quantity, unit price and supplier's name between the three documents. Any exception between PO-GRN report and the invoice noted by the purchasing manager in the Matching Report (PO-GRN-APV) are investigated further by the assistant purchasing manager by coordinating with the warehouse and AP departments. Once satisfied with the resolution, the assistant purchasing manager approves the Matching Report (PO-GRN-APV) and provides this to the accounting department, for </t>
    </r>
    <r>
      <rPr>
        <b/>
        <sz val="9"/>
        <rFont val="Arial"/>
        <family val="2"/>
      </rPr>
      <t>invoice processing GL</t>
    </r>
    <r>
      <rPr>
        <sz val="9"/>
        <rFont val="Arial"/>
        <family val="2"/>
      </rPr>
      <t xml:space="preserve"> </t>
    </r>
    <r>
      <rPr>
        <b/>
        <sz val="9"/>
        <rFont val="Arial"/>
        <family val="2"/>
      </rPr>
      <t>entry</t>
    </r>
    <r>
      <rPr>
        <sz val="9"/>
        <rFont val="Arial"/>
        <family val="2"/>
      </rPr>
      <t xml:space="preserve"> </t>
    </r>
  </si>
  <si>
    <r>
      <rPr>
        <sz val="10"/>
        <rFont val="Arial"/>
        <family val="2"/>
      </rPr>
      <t xml:space="preserve"> IPE risk 1 is addressed by our testing of PO, GRN and AP Invoice creation. IPE risk 2i and 4 are addressed by this control, IPE risk 3 is tested through verification of IPE definition program. IPE risk 5 is tested by testing the mathematical accuracy of the PO, Matching Report (PO-GRN-APV) and AP invoice list </t>
    </r>
    <r>
      <rPr>
        <b/>
        <i/>
        <sz val="10"/>
        <rFont val="Arial"/>
        <family val="2"/>
      </rPr>
      <t>(not included for learning purposes)</t>
    </r>
  </si>
  <si>
    <r>
      <t>1.) Inquire with the assistant purchasing manager the review procedures performed on the Matching Report (PO-GRN-</t>
    </r>
    <r>
      <rPr>
        <b/>
        <sz val="9"/>
        <rFont val="Arial"/>
        <family val="2"/>
      </rPr>
      <t>Invoice</t>
    </r>
    <r>
      <rPr>
        <sz val="9"/>
        <rFont val="Arial"/>
        <family val="2"/>
      </rPr>
      <t>).  Inquire regarding the scope and details of the review. 2.) Obtain the Matching Report (PO-GRN-</t>
    </r>
    <r>
      <rPr>
        <b/>
        <sz val="9"/>
        <rFont val="Arial"/>
        <family val="2"/>
      </rPr>
      <t>Invoice</t>
    </r>
    <r>
      <rPr>
        <sz val="9"/>
        <rFont val="Arial"/>
        <family val="2"/>
      </rPr>
      <t xml:space="preserve">) containing the selected invoice and inspect evidence of assistant purchasing manager's review (e.g., notations and tickmarks on the document) that demonstrate the assistant purchasing manager review and agreement of information (goods purchased, quantity, unit price and supplier's name) between PO, GRN and Invoice and check whether the GRN is stamped and signed by the supervisory warehouse employee. 3.) Reperform the review procedures performed by the assistant manager in step 2 by the </t>
    </r>
    <r>
      <rPr>
        <b/>
        <sz val="9"/>
        <rFont val="Arial"/>
        <family val="2"/>
      </rPr>
      <t xml:space="preserve">checking the mathematical accuracy of the documents and </t>
    </r>
    <r>
      <rPr>
        <sz val="9"/>
        <rFont val="Arial"/>
        <family val="2"/>
      </rPr>
      <t>agreeing the information in the three-way matching report between PO, GRN and Invoice.</t>
    </r>
  </si>
  <si>
    <t>1.) Inquire with the assistant purchasing manager the scope of review procedures performed and the type of items that require further investigation and follow-up and the procedures being performed by the control owner to ensure that resolutions are reached when differences are identified. 2.) Inspect review and resolutions made by the assistant purchasing manager on the exceptions noted, if any. 3.) Reperform the procedure performed by the control owner in resolving exceptions noted.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</si>
</sst>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43" formatCode="_(* #,##0.00_);_(* \(#,##0.00\);_(* &quot;-&quot;??_);_(@_)"/>
    <numFmt numFmtId="164" formatCode="mm/yyyy"/>
    <numFmt numFmtId="165" formatCode="#,##0;\(#,##0\)"/>
    <numFmt numFmtId="166" formatCode="&quot;$&quot;#,##0.00"/>
  </numFmts>
  <fonts count="45" x14ac:knownFonts="1">
    <font>
      <sz val="11"/>
      <color theme="1"/>
      <name val="Calibri"/>
      <family val="2"/>
      <scheme val="minor"/>
    </font>
    <font>
      <sz val="11"/>
      <color theme="1"/>
      <name val="Calibri"/>
      <family val="2"/>
      <scheme val="minor"/>
    </font>
    <font>
      <sz val="10"/>
      <color theme="1"/>
      <name val="Arial"/>
      <family val="2"/>
    </font>
    <font>
      <b/>
      <sz val="9"/>
      <color theme="0"/>
      <name val="Arial"/>
      <family val="2"/>
    </font>
    <font>
      <sz val="9"/>
      <color rgb="FFFF0000"/>
      <name val="Arial"/>
      <family val="2"/>
    </font>
    <font>
      <b/>
      <sz val="9"/>
      <color rgb="FFFF0000"/>
      <name val="Arial"/>
      <family val="2"/>
    </font>
    <font>
      <sz val="10"/>
      <name val="Arial"/>
      <family val="2"/>
    </font>
    <font>
      <sz val="9"/>
      <name val="Arial"/>
      <family val="2"/>
    </font>
    <font>
      <sz val="10"/>
      <name val="Arial"/>
      <family val="2"/>
    </font>
    <font>
      <b/>
      <sz val="9"/>
      <name val="Arial"/>
      <family val="2"/>
    </font>
    <font>
      <i/>
      <sz val="10"/>
      <color rgb="FFFF0000"/>
      <name val="Arial"/>
      <family val="2"/>
    </font>
    <font>
      <b/>
      <sz val="8"/>
      <color theme="0"/>
      <name val="Arial"/>
      <family val="2"/>
    </font>
    <font>
      <b/>
      <sz val="8"/>
      <name val="Arial"/>
      <family val="2"/>
    </font>
    <font>
      <sz val="8"/>
      <name val="Arial"/>
      <family val="2"/>
    </font>
    <font>
      <u/>
      <sz val="10"/>
      <color theme="10"/>
      <name val="Arial"/>
      <family val="2"/>
    </font>
    <font>
      <i/>
      <u/>
      <sz val="8"/>
      <color theme="10"/>
      <name val="Arial"/>
      <family val="2"/>
    </font>
    <font>
      <sz val="10"/>
      <color indexed="8"/>
      <name val="Tahoma"/>
      <family val="2"/>
    </font>
    <font>
      <b/>
      <sz val="10"/>
      <name val="MS Sans Serif"/>
      <family val="2"/>
    </font>
    <font>
      <i/>
      <sz val="9"/>
      <name val="Arial"/>
      <family val="2"/>
    </font>
    <font>
      <b/>
      <sz val="9"/>
      <color indexed="10"/>
      <name val="Arial"/>
      <family val="2"/>
    </font>
    <font>
      <b/>
      <u/>
      <sz val="9"/>
      <name val="Arial"/>
      <family val="2"/>
    </font>
    <font>
      <sz val="10"/>
      <color indexed="8"/>
      <name val="Arial"/>
      <family val="2"/>
    </font>
    <font>
      <sz val="9.5"/>
      <name val="Arial"/>
      <family val="2"/>
    </font>
    <font>
      <i/>
      <sz val="9.5"/>
      <color rgb="FFFF0000"/>
      <name val="Arial"/>
      <family val="2"/>
    </font>
    <font>
      <i/>
      <sz val="9"/>
      <color theme="0"/>
      <name val="Arial"/>
      <family val="2"/>
    </font>
    <font>
      <b/>
      <sz val="14"/>
      <name val="Arial"/>
      <family val="2"/>
    </font>
    <font>
      <b/>
      <sz val="10"/>
      <name val="Arial"/>
      <family val="2"/>
    </font>
    <font>
      <sz val="10"/>
      <color rgb="FFFF0000"/>
      <name val="Arial"/>
      <family val="2"/>
    </font>
    <font>
      <sz val="11"/>
      <color rgb="FFFF0000"/>
      <name val="Calibri"/>
      <family val="2"/>
      <scheme val="minor"/>
    </font>
    <font>
      <i/>
      <sz val="8"/>
      <name val="Arial"/>
      <family val="2"/>
    </font>
    <font>
      <b/>
      <sz val="10"/>
      <color theme="0"/>
      <name val="Arial"/>
      <family val="2"/>
    </font>
    <font>
      <b/>
      <sz val="11"/>
      <color theme="0"/>
      <name val="Arial"/>
      <family val="2"/>
    </font>
    <font>
      <sz val="11"/>
      <name val="Arial"/>
      <family val="2"/>
    </font>
    <font>
      <i/>
      <sz val="8"/>
      <color theme="0"/>
      <name val="Arial"/>
      <family val="2"/>
    </font>
    <font>
      <b/>
      <sz val="9"/>
      <color rgb="FF0000FF"/>
      <name val="Arial"/>
      <family val="2"/>
    </font>
    <font>
      <sz val="10"/>
      <color rgb="FF0000FF"/>
      <name val="Arial"/>
      <family val="2"/>
    </font>
    <font>
      <b/>
      <u/>
      <sz val="9"/>
      <color rgb="FF0000FF"/>
      <name val="Arial"/>
      <family val="2"/>
    </font>
    <font>
      <sz val="9.5"/>
      <color rgb="FF0000FF"/>
      <name val="Arial"/>
      <family val="2"/>
    </font>
    <font>
      <sz val="11"/>
      <color rgb="FF0000FF"/>
      <name val="Calibri"/>
      <family val="2"/>
      <scheme val="minor"/>
    </font>
    <font>
      <sz val="9"/>
      <color theme="1"/>
      <name val="Calibri"/>
      <family val="2"/>
      <scheme val="minor"/>
    </font>
    <font>
      <b/>
      <sz val="11"/>
      <color theme="1"/>
      <name val="Calibri"/>
      <family val="2"/>
      <scheme val="minor"/>
    </font>
    <font>
      <sz val="11"/>
      <color rgb="FF000000"/>
      <name val="Calibri"/>
      <family val="2"/>
      <scheme val="minor"/>
    </font>
    <font>
      <sz val="11"/>
      <color rgb="FF000000"/>
      <name val="SimSun"/>
    </font>
    <font>
      <b/>
      <i/>
      <sz val="9"/>
      <name val="Arial"/>
      <family val="2"/>
    </font>
    <font>
      <b/>
      <i/>
      <sz val="10"/>
      <name val="Arial"/>
      <family val="2"/>
    </font>
  </fonts>
  <fills count="11">
    <fill>
      <patternFill patternType="none"/>
    </fill>
    <fill>
      <patternFill patternType="gray125"/>
    </fill>
    <fill>
      <patternFill patternType="solid">
        <fgColor theme="0"/>
        <bgColor indexed="64"/>
      </patternFill>
    </fill>
    <fill>
      <patternFill patternType="solid">
        <fgColor theme="0" tint="-0.499984740745262"/>
        <bgColor indexed="64"/>
      </patternFill>
    </fill>
    <fill>
      <patternFill patternType="solid">
        <fgColor theme="0" tint="-4.9989318521683403E-2"/>
        <bgColor indexed="64"/>
      </patternFill>
    </fill>
    <fill>
      <patternFill patternType="solid">
        <fgColor rgb="FF808080"/>
        <bgColor indexed="64"/>
      </patternFill>
    </fill>
    <fill>
      <patternFill patternType="solid">
        <fgColor theme="1" tint="0.499984740745262"/>
        <bgColor indexed="64"/>
      </patternFill>
    </fill>
    <fill>
      <patternFill patternType="solid">
        <fgColor rgb="FFD3D3D3"/>
        <bgColor indexed="64"/>
      </patternFill>
    </fill>
    <fill>
      <patternFill patternType="solid">
        <fgColor theme="1" tint="0.249977111117893"/>
        <bgColor indexed="64"/>
      </patternFill>
    </fill>
    <fill>
      <patternFill patternType="solid">
        <fgColor theme="0" tint="-0.249977111117893"/>
        <bgColor indexed="64"/>
      </patternFill>
    </fill>
    <fill>
      <patternFill patternType="solid">
        <fgColor theme="0" tint="-0.14999847407452621"/>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right/>
      <top/>
      <bottom style="medium">
        <color indexed="64"/>
      </bottom>
      <diagonal/>
    </border>
    <border>
      <left style="thin">
        <color indexed="64"/>
      </left>
      <right style="thin">
        <color indexed="64"/>
      </right>
      <top/>
      <bottom/>
      <diagonal/>
    </border>
  </borders>
  <cellStyleXfs count="31">
    <xf numFmtId="0" fontId="0" fillId="0" borderId="0"/>
    <xf numFmtId="9" fontId="1" fillId="0" borderId="0" applyFont="0" applyFill="0" applyBorder="0" applyAlignment="0" applyProtection="0"/>
    <xf numFmtId="0" fontId="2" fillId="0" borderId="0"/>
    <xf numFmtId="0" fontId="6" fillId="0" borderId="0"/>
    <xf numFmtId="0" fontId="8" fillId="0" borderId="0"/>
    <xf numFmtId="0" fontId="14" fillId="0" borderId="0" applyNumberFormat="0" applyFill="0" applyBorder="0" applyAlignment="0" applyProtection="0"/>
    <xf numFmtId="0" fontId="6" fillId="0" borderId="0"/>
    <xf numFmtId="0" fontId="16" fillId="0" borderId="0" applyNumberFormat="0" applyFill="0" applyBorder="0" applyProtection="0">
      <alignment vertical="top"/>
    </xf>
    <xf numFmtId="0" fontId="17" fillId="0" borderId="15">
      <alignment horizontal="center"/>
    </xf>
    <xf numFmtId="43" fontId="6" fillId="0" borderId="0" applyFont="0" applyFill="0" applyBorder="0" applyAlignment="0" applyProtection="0"/>
    <xf numFmtId="0" fontId="21" fillId="0" borderId="0"/>
    <xf numFmtId="0" fontId="6" fillId="0" borderId="0" applyNumberFormat="0" applyFill="0" applyBorder="0" applyProtection="0">
      <alignment horizontal="left"/>
    </xf>
    <xf numFmtId="0" fontId="6" fillId="0" borderId="0" applyNumberFormat="0" applyFill="0" applyBorder="0" applyProtection="0">
      <alignment horizontal="left" vertical="center"/>
    </xf>
    <xf numFmtId="0" fontId="25" fillId="7" borderId="0" applyNumberFormat="0" applyBorder="0" applyProtection="0">
      <alignment horizontal="center" wrapText="1"/>
    </xf>
    <xf numFmtId="0" fontId="26" fillId="7" borderId="0" applyNumberFormat="0" applyBorder="0" applyProtection="0">
      <alignment horizontal="center" wrapText="1"/>
    </xf>
    <xf numFmtId="0" fontId="6" fillId="7" borderId="0" applyNumberFormat="0" applyBorder="0" applyProtection="0">
      <alignment horizontal="center" wrapText="1"/>
    </xf>
    <xf numFmtId="165" fontId="6" fillId="0" borderId="0" applyFill="0" applyBorder="0" applyProtection="0">
      <alignment horizontal="left" vertical="center"/>
    </xf>
    <xf numFmtId="0" fontId="2" fillId="0" borderId="0"/>
    <xf numFmtId="0" fontId="1" fillId="0" borderId="0"/>
    <xf numFmtId="0" fontId="1" fillId="0" borderId="0"/>
    <xf numFmtId="0" fontId="1" fillId="0" borderId="0"/>
    <xf numFmtId="0" fontId="1" fillId="0" borderId="0"/>
    <xf numFmtId="0" fontId="6" fillId="0" borderId="0"/>
    <xf numFmtId="0" fontId="6" fillId="0" borderId="1" applyNumberFormat="0" applyFill="0" applyProtection="0">
      <alignment horizontal="left" vertical="center" wrapText="1"/>
    </xf>
    <xf numFmtId="0" fontId="1" fillId="0" borderId="0"/>
    <xf numFmtId="0" fontId="1" fillId="0" borderId="0"/>
    <xf numFmtId="0" fontId="1" fillId="0" borderId="0"/>
    <xf numFmtId="0" fontId="1" fillId="0" borderId="0"/>
    <xf numFmtId="0" fontId="1" fillId="0" borderId="0"/>
    <xf numFmtId="0" fontId="1" fillId="0" borderId="0"/>
    <xf numFmtId="43" fontId="6" fillId="0" borderId="0" applyFont="0" applyFill="0" applyBorder="0" applyAlignment="0" applyProtection="0"/>
  </cellStyleXfs>
  <cellXfs count="319">
    <xf numFmtId="0" fontId="0" fillId="0" borderId="0" xfId="0"/>
    <xf numFmtId="0" fontId="7" fillId="2" borderId="1" xfId="2" applyFont="1" applyFill="1" applyBorder="1" applyAlignment="1" applyProtection="1">
      <alignment horizontal="left" vertical="center" wrapText="1" indent="1"/>
      <protection locked="0" hidden="1"/>
    </xf>
    <xf numFmtId="0" fontId="5" fillId="2" borderId="3" xfId="2" applyFont="1" applyFill="1" applyBorder="1" applyAlignment="1" applyProtection="1">
      <alignment vertical="center"/>
      <protection hidden="1"/>
    </xf>
    <xf numFmtId="0" fontId="7" fillId="2" borderId="0" xfId="3" applyFont="1" applyFill="1" applyBorder="1" applyAlignment="1" applyProtection="1">
      <alignment vertical="center"/>
      <protection hidden="1"/>
    </xf>
    <xf numFmtId="0" fontId="18" fillId="2" borderId="0" xfId="3" applyFont="1" applyFill="1" applyBorder="1" applyAlignment="1" applyProtection="1">
      <alignment horizontal="left" vertical="center" indent="1"/>
      <protection hidden="1"/>
    </xf>
    <xf numFmtId="0" fontId="7" fillId="2" borderId="0" xfId="3" applyFont="1" applyFill="1" applyBorder="1" applyProtection="1">
      <protection hidden="1"/>
    </xf>
    <xf numFmtId="14" fontId="9" fillId="2" borderId="0" xfId="4" quotePrefix="1" applyNumberFormat="1" applyFont="1" applyFill="1" applyProtection="1">
      <protection hidden="1"/>
    </xf>
    <xf numFmtId="0" fontId="7" fillId="2" borderId="0" xfId="4" applyFont="1" applyFill="1" applyProtection="1">
      <protection hidden="1"/>
    </xf>
    <xf numFmtId="0" fontId="6" fillId="2" borderId="0" xfId="4" applyFont="1" applyFill="1" applyProtection="1">
      <protection hidden="1"/>
    </xf>
    <xf numFmtId="0" fontId="6" fillId="2" borderId="0" xfId="4" applyFont="1" applyFill="1" applyAlignment="1" applyProtection="1">
      <alignment wrapText="1"/>
      <protection hidden="1"/>
    </xf>
    <xf numFmtId="0" fontId="10" fillId="2" borderId="0" xfId="4" applyFont="1" applyFill="1" applyProtection="1">
      <protection hidden="1"/>
    </xf>
    <xf numFmtId="0" fontId="27" fillId="2" borderId="0" xfId="4" applyFont="1" applyFill="1" applyProtection="1">
      <protection hidden="1"/>
    </xf>
    <xf numFmtId="0" fontId="6" fillId="2" borderId="0" xfId="4" applyFont="1" applyFill="1" applyBorder="1" applyProtection="1">
      <protection hidden="1"/>
    </xf>
    <xf numFmtId="0" fontId="3" fillId="2" borderId="0" xfId="2" applyFont="1" applyFill="1" applyBorder="1" applyAlignment="1" applyProtection="1">
      <alignment horizontal="left" vertical="top" wrapText="1"/>
      <protection hidden="1"/>
    </xf>
    <xf numFmtId="0" fontId="7" fillId="2" borderId="0" xfId="2" applyFont="1" applyFill="1" applyBorder="1" applyAlignment="1" applyProtection="1">
      <alignment horizontal="center" vertical="center" wrapText="1"/>
      <protection hidden="1"/>
    </xf>
    <xf numFmtId="0" fontId="7" fillId="2" borderId="14" xfId="2" applyFont="1" applyFill="1" applyBorder="1" applyAlignment="1" applyProtection="1">
      <alignment vertical="center" wrapText="1"/>
      <protection hidden="1"/>
    </xf>
    <xf numFmtId="0" fontId="3" fillId="2" borderId="0" xfId="2" applyFont="1" applyFill="1" applyBorder="1" applyAlignment="1" applyProtection="1">
      <alignment horizontal="left" vertical="center" wrapText="1"/>
      <protection hidden="1"/>
    </xf>
    <xf numFmtId="0" fontId="4" fillId="2" borderId="0" xfId="2" applyFont="1" applyFill="1" applyBorder="1" applyAlignment="1" applyProtection="1">
      <alignment horizontal="center" vertical="center" wrapText="1"/>
      <protection hidden="1"/>
    </xf>
    <xf numFmtId="0" fontId="7" fillId="2" borderId="0" xfId="2" applyFont="1" applyFill="1" applyBorder="1" applyAlignment="1" applyProtection="1">
      <alignment vertical="center" wrapText="1"/>
      <protection hidden="1"/>
    </xf>
    <xf numFmtId="0" fontId="28" fillId="2" borderId="0" xfId="0" applyFont="1" applyFill="1" applyAlignment="1" applyProtection="1">
      <alignment vertical="center"/>
      <protection hidden="1"/>
    </xf>
    <xf numFmtId="0" fontId="0" fillId="2" borderId="0" xfId="0" applyFill="1" applyAlignment="1" applyProtection="1">
      <alignment vertical="center"/>
      <protection hidden="1"/>
    </xf>
    <xf numFmtId="0" fontId="7" fillId="2" borderId="0" xfId="29" applyFont="1" applyFill="1" applyProtection="1">
      <protection hidden="1"/>
    </xf>
    <xf numFmtId="0" fontId="0" fillId="2" borderId="0" xfId="0" applyFill="1" applyProtection="1">
      <protection hidden="1"/>
    </xf>
    <xf numFmtId="0" fontId="28" fillId="2" borderId="0" xfId="0" applyFont="1" applyFill="1" applyProtection="1">
      <protection hidden="1"/>
    </xf>
    <xf numFmtId="0" fontId="6" fillId="2" borderId="0" xfId="4" applyFont="1" applyFill="1" applyAlignment="1" applyProtection="1">
      <protection hidden="1"/>
    </xf>
    <xf numFmtId="0" fontId="6" fillId="0" borderId="0" xfId="29" applyFont="1" applyFill="1" applyBorder="1" applyAlignment="1" applyProtection="1">
      <alignment vertical="center" wrapText="1"/>
      <protection hidden="1"/>
    </xf>
    <xf numFmtId="0" fontId="3" fillId="2" borderId="14" xfId="3" applyFont="1" applyFill="1" applyBorder="1" applyAlignment="1" applyProtection="1">
      <alignment vertical="center"/>
      <protection hidden="1"/>
    </xf>
    <xf numFmtId="0" fontId="3" fillId="2" borderId="14" xfId="2" applyFont="1" applyFill="1" applyBorder="1" applyAlignment="1" applyProtection="1">
      <alignment vertical="center" wrapText="1"/>
      <protection hidden="1"/>
    </xf>
    <xf numFmtId="0" fontId="3" fillId="2" borderId="0" xfId="2" applyFont="1" applyFill="1" applyBorder="1" applyAlignment="1" applyProtection="1">
      <alignment vertical="center" wrapText="1"/>
      <protection hidden="1"/>
    </xf>
    <xf numFmtId="0" fontId="7" fillId="2" borderId="14" xfId="6" applyFont="1" applyFill="1" applyBorder="1" applyAlignment="1" applyProtection="1">
      <alignment vertical="center" wrapText="1"/>
      <protection hidden="1"/>
    </xf>
    <xf numFmtId="0" fontId="3" fillId="2" borderId="0" xfId="3" applyFont="1" applyFill="1" applyBorder="1" applyAlignment="1" applyProtection="1">
      <protection hidden="1"/>
    </xf>
    <xf numFmtId="0" fontId="7" fillId="2" borderId="0" xfId="3" applyFont="1" applyFill="1" applyBorder="1" applyAlignment="1" applyProtection="1">
      <protection hidden="1"/>
    </xf>
    <xf numFmtId="0" fontId="7" fillId="2" borderId="0" xfId="3" applyFont="1" applyFill="1" applyBorder="1" applyAlignment="1" applyProtection="1">
      <alignment horizontal="left"/>
      <protection hidden="1"/>
    </xf>
    <xf numFmtId="0" fontId="3" fillId="2" borderId="14" xfId="6" applyFont="1" applyFill="1" applyBorder="1" applyAlignment="1" applyProtection="1">
      <alignment vertical="center" wrapText="1"/>
      <protection hidden="1"/>
    </xf>
    <xf numFmtId="0" fontId="6" fillId="2" borderId="0" xfId="4" applyFont="1" applyFill="1" applyAlignment="1" applyProtection="1">
      <alignment vertical="center"/>
      <protection hidden="1"/>
    </xf>
    <xf numFmtId="0" fontId="7" fillId="2" borderId="0" xfId="29" applyFont="1" applyFill="1" applyAlignment="1" applyProtection="1">
      <alignment horizontal="left"/>
      <protection hidden="1"/>
    </xf>
    <xf numFmtId="0" fontId="9" fillId="2" borderId="0" xfId="2" applyFont="1" applyFill="1" applyBorder="1" applyAlignment="1" applyProtection="1">
      <alignment vertical="center" wrapText="1"/>
      <protection hidden="1"/>
    </xf>
    <xf numFmtId="0" fontId="6" fillId="2" borderId="0" xfId="29" applyFont="1" applyFill="1" applyProtection="1">
      <protection hidden="1"/>
    </xf>
    <xf numFmtId="9" fontId="6" fillId="2" borderId="1" xfId="1" applyFont="1" applyFill="1" applyBorder="1" applyAlignment="1" applyProtection="1">
      <alignment vertical="center" wrapText="1"/>
      <protection hidden="1"/>
    </xf>
    <xf numFmtId="0" fontId="36" fillId="2" borderId="0" xfId="4" applyFont="1" applyFill="1" applyBorder="1" applyProtection="1">
      <protection hidden="1"/>
    </xf>
    <xf numFmtId="0" fontId="3" fillId="6" borderId="4" xfId="2" applyFont="1" applyFill="1" applyBorder="1" applyAlignment="1" applyProtection="1">
      <alignment horizontal="center" vertical="center"/>
      <protection hidden="1"/>
    </xf>
    <xf numFmtId="0" fontId="22" fillId="2" borderId="0" xfId="4" applyFont="1" applyFill="1" applyProtection="1">
      <protection hidden="1"/>
    </xf>
    <xf numFmtId="0" fontId="29" fillId="2" borderId="0" xfId="3" applyFont="1" applyFill="1" applyProtection="1">
      <protection hidden="1"/>
    </xf>
    <xf numFmtId="0" fontId="9" fillId="2" borderId="0" xfId="7" applyFont="1" applyFill="1" applyBorder="1" applyAlignment="1" applyProtection="1">
      <alignment vertical="top"/>
      <protection hidden="1"/>
    </xf>
    <xf numFmtId="0" fontId="3" fillId="5" borderId="4" xfId="7" applyFont="1" applyFill="1" applyBorder="1" applyAlignment="1" applyProtection="1">
      <alignment horizontal="centerContinuous" vertical="center"/>
      <protection hidden="1"/>
    </xf>
    <xf numFmtId="0" fontId="3" fillId="5" borderId="2" xfId="7" applyFont="1" applyFill="1" applyBorder="1" applyAlignment="1" applyProtection="1">
      <alignment horizontal="centerContinuous" vertical="center"/>
      <protection hidden="1"/>
    </xf>
    <xf numFmtId="0" fontId="34" fillId="2" borderId="0" xfId="7" applyFont="1" applyFill="1" applyBorder="1" applyAlignment="1" applyProtection="1">
      <alignment vertical="top"/>
      <protection hidden="1"/>
    </xf>
    <xf numFmtId="0" fontId="35" fillId="2" borderId="0" xfId="4" applyFont="1" applyFill="1" applyProtection="1">
      <protection hidden="1"/>
    </xf>
    <xf numFmtId="0" fontId="35" fillId="2" borderId="0" xfId="4" applyFont="1" applyFill="1" applyBorder="1" applyProtection="1">
      <protection hidden="1"/>
    </xf>
    <xf numFmtId="0" fontId="3" fillId="6" borderId="1" xfId="4" applyFont="1" applyFill="1" applyBorder="1" applyAlignment="1" applyProtection="1">
      <alignment horizontal="center" vertical="center" wrapText="1"/>
      <protection hidden="1"/>
    </xf>
    <xf numFmtId="0" fontId="3" fillId="6" borderId="4" xfId="8" applyFont="1" applyFill="1" applyBorder="1" applyAlignment="1" applyProtection="1">
      <alignment horizontal="center" vertical="center" wrapText="1"/>
      <protection hidden="1"/>
    </xf>
    <xf numFmtId="0" fontId="3" fillId="6" borderId="13" xfId="8" applyFont="1" applyFill="1" applyBorder="1" applyAlignment="1" applyProtection="1">
      <alignment horizontal="center" vertical="center" wrapText="1"/>
      <protection hidden="1"/>
    </xf>
    <xf numFmtId="0" fontId="3" fillId="6" borderId="1" xfId="4" applyFont="1" applyFill="1" applyBorder="1" applyAlignment="1" applyProtection="1">
      <alignment horizontal="center" vertical="center"/>
      <protection hidden="1"/>
    </xf>
    <xf numFmtId="0" fontId="19" fillId="2" borderId="0" xfId="7" applyFont="1" applyFill="1" applyBorder="1" applyAlignment="1" applyProtection="1">
      <protection hidden="1"/>
    </xf>
    <xf numFmtId="0" fontId="7" fillId="2" borderId="0" xfId="29" applyFont="1" applyFill="1" applyAlignment="1" applyProtection="1">
      <alignment wrapText="1"/>
      <protection hidden="1"/>
    </xf>
    <xf numFmtId="0" fontId="3" fillId="6" borderId="1" xfId="2" applyFont="1" applyFill="1" applyBorder="1" applyAlignment="1" applyProtection="1">
      <alignment horizontal="center" vertical="center"/>
      <protection hidden="1"/>
    </xf>
    <xf numFmtId="0" fontId="29" fillId="2" borderId="0" xfId="4" applyFont="1" applyFill="1" applyBorder="1" applyProtection="1">
      <protection hidden="1"/>
    </xf>
    <xf numFmtId="0" fontId="7" fillId="2" borderId="0" xfId="29" applyFont="1" applyFill="1" applyBorder="1" applyAlignment="1" applyProtection="1">
      <alignment horizontal="left" wrapText="1"/>
      <protection hidden="1"/>
    </xf>
    <xf numFmtId="0" fontId="3" fillId="2" borderId="0" xfId="2" applyFont="1" applyFill="1" applyBorder="1" applyAlignment="1" applyProtection="1">
      <alignment horizontal="center" vertical="top"/>
      <protection hidden="1"/>
    </xf>
    <xf numFmtId="0" fontId="0" fillId="0" borderId="0" xfId="0" applyProtection="1">
      <protection hidden="1"/>
    </xf>
    <xf numFmtId="0" fontId="12" fillId="2" borderId="0" xfId="2" applyFont="1" applyFill="1" applyBorder="1" applyAlignment="1" applyProtection="1">
      <alignment horizontal="center" vertical="center"/>
      <protection hidden="1"/>
    </xf>
    <xf numFmtId="0" fontId="15" fillId="2" borderId="0" xfId="5" applyFont="1" applyFill="1" applyBorder="1" applyAlignment="1" applyProtection="1">
      <alignment horizontal="left" vertical="top" wrapText="1"/>
      <protection hidden="1"/>
    </xf>
    <xf numFmtId="0" fontId="7" fillId="2" borderId="0" xfId="4" applyFont="1" applyFill="1" applyBorder="1" applyAlignment="1" applyProtection="1">
      <alignment horizontal="left" vertical="top" wrapText="1"/>
      <protection hidden="1"/>
    </xf>
    <xf numFmtId="0" fontId="23" fillId="2" borderId="0" xfId="4" applyFont="1" applyFill="1" applyProtection="1">
      <protection hidden="1"/>
    </xf>
    <xf numFmtId="0" fontId="6" fillId="2" borderId="0" xfId="3" applyFont="1" applyFill="1" applyProtection="1">
      <protection hidden="1"/>
    </xf>
    <xf numFmtId="0" fontId="29" fillId="2" borderId="0" xfId="4" applyFont="1" applyFill="1" applyProtection="1">
      <protection hidden="1"/>
    </xf>
    <xf numFmtId="0" fontId="3" fillId="6" borderId="1" xfId="8" applyFont="1" applyFill="1" applyBorder="1" applyAlignment="1" applyProtection="1">
      <alignment horizontal="center" vertical="center" wrapText="1"/>
      <protection hidden="1"/>
    </xf>
    <xf numFmtId="0" fontId="7" fillId="2" borderId="0" xfId="4" applyFont="1" applyFill="1" applyBorder="1" applyAlignment="1" applyProtection="1">
      <alignment horizontal="center"/>
      <protection hidden="1"/>
    </xf>
    <xf numFmtId="0" fontId="18" fillId="2" borderId="0" xfId="4" applyFont="1" applyFill="1" applyAlignment="1" applyProtection="1">
      <alignment horizontal="center"/>
      <protection hidden="1"/>
    </xf>
    <xf numFmtId="0" fontId="9" fillId="2" borderId="0" xfId="4" applyFont="1" applyFill="1" applyProtection="1">
      <protection hidden="1"/>
    </xf>
    <xf numFmtId="49" fontId="7" fillId="2" borderId="0" xfId="4" applyNumberFormat="1" applyFont="1" applyFill="1" applyAlignment="1" applyProtection="1">
      <protection hidden="1"/>
    </xf>
    <xf numFmtId="49" fontId="7" fillId="2" borderId="0" xfId="4" applyNumberFormat="1" applyFont="1" applyFill="1" applyAlignment="1" applyProtection="1">
      <alignment horizontal="center"/>
      <protection hidden="1"/>
    </xf>
    <xf numFmtId="0" fontId="3" fillId="6" borderId="13" xfId="2" applyFont="1" applyFill="1" applyBorder="1" applyAlignment="1" applyProtection="1">
      <alignment horizontal="center" vertical="center"/>
      <protection hidden="1"/>
    </xf>
    <xf numFmtId="0" fontId="7" fillId="2" borderId="0" xfId="4" applyFont="1" applyFill="1" applyBorder="1" applyAlignment="1" applyProtection="1">
      <alignment horizontal="left" wrapText="1"/>
      <protection hidden="1"/>
    </xf>
    <xf numFmtId="0" fontId="9" fillId="2" borderId="0" xfId="4" applyFont="1" applyFill="1" applyAlignment="1" applyProtection="1">
      <alignment horizontal="center"/>
      <protection hidden="1"/>
    </xf>
    <xf numFmtId="0" fontId="7" fillId="2" borderId="0" xfId="3" applyFont="1" applyFill="1" applyBorder="1" applyAlignment="1" applyProtection="1">
      <alignment vertical="top"/>
      <protection hidden="1"/>
    </xf>
    <xf numFmtId="0" fontId="32" fillId="2" borderId="0" xfId="3" applyFont="1" applyFill="1" applyBorder="1" applyProtection="1">
      <protection hidden="1"/>
    </xf>
    <xf numFmtId="0" fontId="9" fillId="2" borderId="0" xfId="4" applyFont="1" applyFill="1" applyAlignment="1" applyProtection="1">
      <alignment horizontal="left" vertical="top"/>
      <protection hidden="1"/>
    </xf>
    <xf numFmtId="0" fontId="20" fillId="2" borderId="0" xfId="4" applyFont="1" applyFill="1" applyProtection="1">
      <protection hidden="1"/>
    </xf>
    <xf numFmtId="0" fontId="6" fillId="2" borderId="1" xfId="2" applyFont="1" applyFill="1" applyBorder="1" applyAlignment="1" applyProtection="1">
      <alignment horizontal="left" vertical="center" wrapText="1" indent="1"/>
      <protection locked="0" hidden="1"/>
    </xf>
    <xf numFmtId="0" fontId="7" fillId="2" borderId="1" xfId="22" applyFont="1" applyFill="1" applyBorder="1" applyAlignment="1" applyProtection="1">
      <alignment horizontal="center" vertical="center" wrapText="1"/>
      <protection locked="0" hidden="1"/>
    </xf>
    <xf numFmtId="0" fontId="7" fillId="0" borderId="1" xfId="22" applyFont="1" applyFill="1" applyBorder="1" applyAlignment="1" applyProtection="1">
      <alignment horizontal="left" vertical="center" wrapText="1" indent="1"/>
      <protection locked="0" hidden="1"/>
    </xf>
    <xf numFmtId="0" fontId="6" fillId="0" borderId="1" xfId="29" applyFont="1" applyFill="1" applyBorder="1" applyAlignment="1" applyProtection="1">
      <alignment horizontal="left" vertical="center" wrapText="1" indent="1"/>
      <protection locked="0" hidden="1"/>
    </xf>
    <xf numFmtId="49" fontId="9" fillId="2" borderId="4" xfId="4" applyNumberFormat="1" applyFont="1" applyFill="1" applyBorder="1" applyAlignment="1" applyProtection="1">
      <alignment horizontal="left" vertical="center" indent="1"/>
      <protection locked="0" hidden="1"/>
    </xf>
    <xf numFmtId="49" fontId="5" fillId="2" borderId="4" xfId="4" applyNumberFormat="1" applyFont="1" applyFill="1" applyBorder="1" applyAlignment="1" applyProtection="1">
      <alignment horizontal="left" vertical="center" indent="1"/>
      <protection locked="0" hidden="1"/>
    </xf>
    <xf numFmtId="43" fontId="9" fillId="2" borderId="1" xfId="9" applyFont="1" applyFill="1" applyBorder="1" applyAlignment="1" applyProtection="1">
      <alignment horizontal="left" vertical="center" indent="1"/>
      <protection locked="0" hidden="1"/>
    </xf>
    <xf numFmtId="0" fontId="7" fillId="2" borderId="1" xfId="22" applyFont="1" applyFill="1" applyBorder="1" applyAlignment="1" applyProtection="1">
      <alignment horizontal="left" vertical="center" wrapText="1" indent="1"/>
      <protection locked="0" hidden="1"/>
    </xf>
    <xf numFmtId="0" fontId="7" fillId="2" borderId="1" xfId="22" applyFont="1" applyFill="1" applyBorder="1" applyAlignment="1" applyProtection="1">
      <alignment horizontal="left" vertical="center" indent="1"/>
      <protection locked="0" hidden="1"/>
    </xf>
    <xf numFmtId="164" fontId="7" fillId="2" borderId="1" xfId="6" applyNumberFormat="1" applyFont="1" applyFill="1" applyBorder="1" applyAlignment="1" applyProtection="1">
      <alignment horizontal="center" vertical="center" wrapText="1"/>
      <protection locked="0" hidden="1"/>
    </xf>
    <xf numFmtId="0" fontId="7" fillId="2" borderId="1" xfId="6" applyFont="1" applyFill="1" applyBorder="1" applyAlignment="1" applyProtection="1">
      <alignment horizontal="left" vertical="center" wrapText="1" indent="1"/>
      <protection locked="0" hidden="1"/>
    </xf>
    <xf numFmtId="14" fontId="7" fillId="2" borderId="1" xfId="2" applyNumberFormat="1" applyFont="1" applyFill="1" applyBorder="1" applyAlignment="1" applyProtection="1">
      <alignment vertical="center" wrapText="1"/>
      <protection locked="0" hidden="1"/>
    </xf>
    <xf numFmtId="0" fontId="7" fillId="0" borderId="1" xfId="3" applyFont="1" applyFill="1" applyBorder="1" applyAlignment="1" applyProtection="1">
      <alignment horizontal="center" vertical="center" wrapText="1"/>
      <protection locked="0" hidden="1"/>
    </xf>
    <xf numFmtId="0" fontId="7" fillId="2" borderId="9" xfId="3" applyFont="1" applyFill="1" applyBorder="1" applyAlignment="1" applyProtection="1">
      <alignment horizontal="center" vertical="center" wrapText="1"/>
      <protection locked="0" hidden="1"/>
    </xf>
    <xf numFmtId="0" fontId="32" fillId="2" borderId="1" xfId="3" applyFont="1" applyFill="1" applyBorder="1" applyAlignment="1" applyProtection="1">
      <alignment horizontal="left" vertical="center" wrapText="1" indent="1"/>
      <protection locked="0" hidden="1"/>
    </xf>
    <xf numFmtId="164" fontId="7" fillId="2" borderId="1" xfId="6" applyNumberFormat="1" applyFont="1" applyFill="1" applyBorder="1" applyAlignment="1" applyProtection="1">
      <alignment horizontal="left" vertical="center" wrapText="1" indent="1"/>
      <protection locked="0" hidden="1"/>
    </xf>
    <xf numFmtId="0" fontId="7" fillId="2" borderId="0" xfId="3" applyFont="1" applyFill="1" applyBorder="1" applyAlignment="1" applyProtection="1">
      <alignment wrapText="1"/>
      <protection hidden="1"/>
    </xf>
    <xf numFmtId="0" fontId="3" fillId="2" borderId="14" xfId="2" applyFont="1" applyFill="1" applyBorder="1" applyAlignment="1" applyProtection="1">
      <alignment horizontal="center" vertical="center" wrapText="1"/>
      <protection hidden="1"/>
    </xf>
    <xf numFmtId="0" fontId="7" fillId="2" borderId="14" xfId="2" applyFont="1" applyFill="1" applyBorder="1" applyAlignment="1" applyProtection="1">
      <alignment horizontal="center" vertical="center" wrapText="1"/>
      <protection hidden="1"/>
    </xf>
    <xf numFmtId="0" fontId="3" fillId="6" borderId="1" xfId="4" applyFont="1" applyFill="1" applyBorder="1" applyAlignment="1" applyProtection="1">
      <alignment horizontal="center" vertical="center"/>
      <protection hidden="1"/>
    </xf>
    <xf numFmtId="0" fontId="37" fillId="2" borderId="0" xfId="4" applyFont="1" applyFill="1" applyProtection="1">
      <protection hidden="1"/>
    </xf>
    <xf numFmtId="0" fontId="3" fillId="6" borderId="1" xfId="4" applyFont="1" applyFill="1" applyBorder="1" applyAlignment="1" applyProtection="1">
      <alignment horizontal="center" vertical="center"/>
      <protection hidden="1"/>
    </xf>
    <xf numFmtId="0" fontId="14" fillId="2" borderId="0" xfId="5" applyFill="1" applyAlignment="1" applyProtection="1">
      <alignment horizontal="center"/>
      <protection hidden="1"/>
    </xf>
    <xf numFmtId="0" fontId="14" fillId="2" borderId="3" xfId="5" applyFill="1" applyBorder="1" applyAlignment="1" applyProtection="1">
      <alignment horizontal="center"/>
      <protection hidden="1"/>
    </xf>
    <xf numFmtId="14" fontId="9" fillId="2" borderId="0" xfId="4" quotePrefix="1" applyNumberFormat="1" applyFont="1" applyFill="1" applyAlignment="1" applyProtection="1">
      <alignment wrapText="1"/>
      <protection hidden="1"/>
    </xf>
    <xf numFmtId="0" fontId="3" fillId="5" borderId="1" xfId="7" applyFont="1" applyFill="1" applyBorder="1" applyAlignment="1" applyProtection="1">
      <alignment horizontal="centerContinuous" vertical="center"/>
      <protection hidden="1"/>
    </xf>
    <xf numFmtId="0" fontId="0" fillId="2" borderId="0" xfId="0" applyFill="1"/>
    <xf numFmtId="0" fontId="38" fillId="2" borderId="0" xfId="0" applyFont="1" applyFill="1"/>
    <xf numFmtId="0" fontId="0" fillId="0" borderId="0" xfId="0" applyAlignment="1">
      <alignment wrapText="1"/>
    </xf>
    <xf numFmtId="0" fontId="14" fillId="2" borderId="5" xfId="5" applyFill="1" applyBorder="1" applyAlignment="1" applyProtection="1">
      <alignment horizontal="center"/>
      <protection hidden="1"/>
    </xf>
    <xf numFmtId="0" fontId="34" fillId="2" borderId="0" xfId="7" applyFont="1" applyFill="1" applyBorder="1" applyAlignment="1" applyProtection="1">
      <protection hidden="1"/>
    </xf>
    <xf numFmtId="0" fontId="14" fillId="2" borderId="11" xfId="5" applyFill="1" applyBorder="1" applyAlignment="1" applyProtection="1">
      <alignment horizontal="center"/>
      <protection hidden="1"/>
    </xf>
    <xf numFmtId="14" fontId="6" fillId="2" borderId="1" xfId="2" applyNumberFormat="1" applyFont="1" applyFill="1" applyBorder="1" applyAlignment="1" applyProtection="1">
      <alignment horizontal="left" vertical="center" wrapText="1" indent="1"/>
      <protection locked="0" hidden="1"/>
    </xf>
    <xf numFmtId="0" fontId="7" fillId="2" borderId="1" xfId="3" applyFont="1" applyFill="1" applyBorder="1" applyAlignment="1" applyProtection="1">
      <alignment horizontal="center" vertical="center" wrapText="1"/>
      <protection locked="0" hidden="1"/>
    </xf>
    <xf numFmtId="0" fontId="39" fillId="0" borderId="0" xfId="0" applyFont="1"/>
    <xf numFmtId="0" fontId="7" fillId="2" borderId="1" xfId="2" applyFont="1" applyFill="1" applyBorder="1" applyAlignment="1" applyProtection="1">
      <alignment horizontal="left" vertical="center" wrapText="1" indent="1"/>
      <protection locked="0" hidden="1"/>
    </xf>
    <xf numFmtId="0" fontId="2" fillId="0" borderId="0" xfId="0" applyFont="1" applyAlignment="1">
      <alignment wrapText="1"/>
    </xf>
    <xf numFmtId="0" fontId="40" fillId="9" borderId="1" xfId="0" applyFont="1" applyFill="1" applyBorder="1" applyAlignment="1">
      <alignment horizontal="center" vertical="center" wrapText="1"/>
    </xf>
    <xf numFmtId="0" fontId="0" fillId="10" borderId="0" xfId="0" applyFill="1"/>
    <xf numFmtId="0" fontId="0" fillId="10" borderId="0" xfId="0" applyFill="1" applyAlignment="1">
      <alignment wrapText="1"/>
    </xf>
    <xf numFmtId="0" fontId="40" fillId="9" borderId="0" xfId="0" applyFont="1" applyFill="1" applyAlignment="1">
      <alignment wrapText="1"/>
    </xf>
    <xf numFmtId="0" fontId="0" fillId="9" borderId="0" xfId="0" applyFill="1" applyAlignment="1">
      <alignment wrapText="1"/>
    </xf>
    <xf numFmtId="0" fontId="41" fillId="0" borderId="0" xfId="0" applyFont="1" applyAlignment="1">
      <alignment vertical="center" wrapText="1"/>
    </xf>
    <xf numFmtId="0" fontId="41" fillId="0" borderId="0" xfId="0" applyFont="1" applyAlignment="1">
      <alignment horizontal="right" vertical="center" wrapText="1"/>
    </xf>
    <xf numFmtId="0" fontId="5" fillId="2" borderId="0" xfId="2" applyFont="1" applyFill="1" applyBorder="1" applyAlignment="1" applyProtection="1">
      <alignment vertical="center"/>
      <protection hidden="1"/>
    </xf>
    <xf numFmtId="0" fontId="7" fillId="2" borderId="0" xfId="29" applyFont="1" applyFill="1" applyAlignment="1" applyProtection="1">
      <alignment vertical="center"/>
      <protection hidden="1"/>
    </xf>
    <xf numFmtId="0" fontId="3" fillId="6" borderId="2" xfId="4" applyFont="1" applyFill="1" applyBorder="1" applyAlignment="1" applyProtection="1">
      <alignment horizontal="center" vertical="center"/>
      <protection hidden="1"/>
    </xf>
    <xf numFmtId="0" fontId="14" fillId="2" borderId="0" xfId="5" applyFill="1" applyBorder="1" applyAlignment="1" applyProtection="1">
      <alignment horizontal="center"/>
      <protection hidden="1"/>
    </xf>
    <xf numFmtId="0" fontId="0" fillId="0" borderId="0" xfId="0" applyFill="1"/>
    <xf numFmtId="0" fontId="0" fillId="0" borderId="0" xfId="0" applyFill="1" applyAlignment="1">
      <alignment vertical="top" wrapText="1"/>
    </xf>
    <xf numFmtId="0" fontId="0" fillId="0" borderId="0" xfId="0" applyFont="1" applyFill="1" applyAlignment="1">
      <alignment wrapText="1"/>
    </xf>
    <xf numFmtId="0" fontId="0" fillId="0" borderId="0" xfId="0" applyFill="1" applyAlignment="1">
      <alignment wrapText="1"/>
    </xf>
    <xf numFmtId="0" fontId="42" fillId="0" borderId="0" xfId="0" applyFont="1"/>
    <xf numFmtId="0" fontId="41" fillId="0" borderId="0" xfId="0" applyFont="1"/>
    <xf numFmtId="0" fontId="0" fillId="0" borderId="0" xfId="0" applyAlignment="1">
      <alignment vertical="top" wrapText="1"/>
    </xf>
    <xf numFmtId="0" fontId="3" fillId="6" borderId="1" xfId="2" applyFont="1" applyFill="1" applyBorder="1" applyAlignment="1" applyProtection="1">
      <alignment horizontal="center" vertical="center"/>
      <protection hidden="1"/>
    </xf>
    <xf numFmtId="43" fontId="9" fillId="2" borderId="1" xfId="9" applyFont="1" applyFill="1" applyBorder="1" applyAlignment="1" applyProtection="1">
      <alignment horizontal="center" vertical="center"/>
      <protection locked="0" hidden="1"/>
    </xf>
    <xf numFmtId="49" fontId="5" fillId="2" borderId="4" xfId="3" applyNumberFormat="1" applyFont="1" applyFill="1" applyBorder="1" applyAlignment="1" applyProtection="1">
      <alignment horizontal="left" vertical="center" indent="1"/>
      <protection locked="0" hidden="1"/>
    </xf>
    <xf numFmtId="0" fontId="13" fillId="4" borderId="1" xfId="4" applyFont="1" applyFill="1" applyBorder="1" applyAlignment="1" applyProtection="1">
      <alignment horizontal="left" vertical="center" wrapText="1" indent="1"/>
      <protection hidden="1"/>
    </xf>
    <xf numFmtId="0" fontId="7" fillId="2" borderId="4" xfId="2" applyFont="1" applyFill="1" applyBorder="1" applyAlignment="1" applyProtection="1">
      <alignment horizontal="left" vertical="top" wrapText="1" indent="2"/>
      <protection locked="0" hidden="1"/>
    </xf>
    <xf numFmtId="0" fontId="7" fillId="2" borderId="5" xfId="2" applyFont="1" applyFill="1" applyBorder="1" applyAlignment="1" applyProtection="1">
      <alignment horizontal="left" vertical="top" wrapText="1" indent="2"/>
      <protection locked="0" hidden="1"/>
    </xf>
    <xf numFmtId="0" fontId="7" fillId="2" borderId="2" xfId="2" applyFont="1" applyFill="1" applyBorder="1" applyAlignment="1" applyProtection="1">
      <alignment horizontal="left" vertical="top" wrapText="1" indent="2"/>
      <protection locked="0" hidden="1"/>
    </xf>
    <xf numFmtId="0" fontId="7" fillId="2" borderId="1" xfId="22" applyFont="1" applyFill="1" applyBorder="1" applyAlignment="1" applyProtection="1">
      <alignment horizontal="left" vertical="center" wrapText="1" indent="1"/>
      <protection locked="0" hidden="1"/>
    </xf>
    <xf numFmtId="0" fontId="3" fillId="6" borderId="6" xfId="2" applyFont="1" applyFill="1" applyBorder="1" applyAlignment="1" applyProtection="1">
      <alignment horizontal="left" vertical="center" wrapText="1" indent="1"/>
      <protection hidden="1"/>
    </xf>
    <xf numFmtId="0" fontId="3" fillId="6" borderId="7" xfId="2" applyFont="1" applyFill="1" applyBorder="1" applyAlignment="1" applyProtection="1">
      <alignment horizontal="left" vertical="center" wrapText="1" indent="1"/>
      <protection hidden="1"/>
    </xf>
    <xf numFmtId="0" fontId="3" fillId="6" borderId="8" xfId="2" applyFont="1" applyFill="1" applyBorder="1" applyAlignment="1" applyProtection="1">
      <alignment horizontal="left" vertical="center" wrapText="1" indent="1"/>
      <protection hidden="1"/>
    </xf>
    <xf numFmtId="0" fontId="3" fillId="6" borderId="14" xfId="2" applyFont="1" applyFill="1" applyBorder="1" applyAlignment="1" applyProtection="1">
      <alignment horizontal="left" vertical="center" wrapText="1" indent="1"/>
      <protection hidden="1"/>
    </xf>
    <xf numFmtId="0" fontId="3" fillId="6" borderId="0" xfId="2" applyFont="1" applyFill="1" applyBorder="1" applyAlignment="1" applyProtection="1">
      <alignment horizontal="left" vertical="center" wrapText="1" indent="1"/>
      <protection hidden="1"/>
    </xf>
    <xf numFmtId="0" fontId="3" fillId="6" borderId="3" xfId="2" applyFont="1" applyFill="1" applyBorder="1" applyAlignment="1" applyProtection="1">
      <alignment horizontal="left" vertical="center" wrapText="1" indent="1"/>
      <protection hidden="1"/>
    </xf>
    <xf numFmtId="0" fontId="3" fillId="6" borderId="10" xfId="2" applyFont="1" applyFill="1" applyBorder="1" applyAlignment="1" applyProtection="1">
      <alignment horizontal="left" vertical="center" wrapText="1" indent="1"/>
      <protection hidden="1"/>
    </xf>
    <xf numFmtId="0" fontId="3" fillId="6" borderId="11" xfId="2" applyFont="1" applyFill="1" applyBorder="1" applyAlignment="1" applyProtection="1">
      <alignment horizontal="left" vertical="center" wrapText="1" indent="1"/>
      <protection hidden="1"/>
    </xf>
    <xf numFmtId="0" fontId="3" fillId="6" borderId="12" xfId="2" applyFont="1" applyFill="1" applyBorder="1" applyAlignment="1" applyProtection="1">
      <alignment horizontal="left" vertical="center" wrapText="1" indent="1"/>
      <protection hidden="1"/>
    </xf>
    <xf numFmtId="0" fontId="11" fillId="6" borderId="4" xfId="2" applyFont="1" applyFill="1" applyBorder="1" applyAlignment="1" applyProtection="1">
      <alignment horizontal="center" vertical="center"/>
      <protection hidden="1"/>
    </xf>
    <xf numFmtId="0" fontId="11" fillId="6" borderId="2" xfId="2" applyFont="1" applyFill="1" applyBorder="1" applyAlignment="1" applyProtection="1">
      <alignment horizontal="center" vertical="center"/>
      <protection hidden="1"/>
    </xf>
    <xf numFmtId="0" fontId="7" fillId="2" borderId="4" xfId="2" applyFont="1" applyFill="1" applyBorder="1" applyAlignment="1" applyProtection="1">
      <alignment horizontal="center" vertical="center" wrapText="1"/>
      <protection locked="0" hidden="1"/>
    </xf>
    <xf numFmtId="0" fontId="7" fillId="2" borderId="2" xfId="2" applyFont="1" applyFill="1" applyBorder="1" applyAlignment="1" applyProtection="1">
      <alignment horizontal="center" vertical="center" wrapText="1"/>
      <protection locked="0" hidden="1"/>
    </xf>
    <xf numFmtId="0" fontId="7" fillId="2" borderId="4" xfId="22" applyFont="1" applyFill="1" applyBorder="1" applyAlignment="1" applyProtection="1">
      <alignment horizontal="left" vertical="center" wrapText="1" indent="1"/>
      <protection locked="0" hidden="1"/>
    </xf>
    <xf numFmtId="0" fontId="7" fillId="2" borderId="2" xfId="22" applyFont="1" applyFill="1" applyBorder="1" applyAlignment="1" applyProtection="1">
      <alignment horizontal="left" vertical="center" wrapText="1" indent="1"/>
      <protection locked="0" hidden="1"/>
    </xf>
    <xf numFmtId="0" fontId="3" fillId="6" borderId="4" xfId="29" applyFont="1" applyFill="1" applyBorder="1" applyAlignment="1" applyProtection="1">
      <alignment horizontal="left" vertical="center" indent="1"/>
      <protection hidden="1"/>
    </xf>
    <xf numFmtId="0" fontId="3" fillId="6" borderId="5" xfId="29" applyFont="1" applyFill="1" applyBorder="1" applyAlignment="1" applyProtection="1">
      <alignment horizontal="left" vertical="center" indent="1"/>
      <protection hidden="1"/>
    </xf>
    <xf numFmtId="0" fontId="3" fillId="6" borderId="2" xfId="29" applyFont="1" applyFill="1" applyBorder="1" applyAlignment="1" applyProtection="1">
      <alignment horizontal="left" vertical="center" indent="1"/>
      <protection hidden="1"/>
    </xf>
    <xf numFmtId="0" fontId="7" fillId="2" borderId="5" xfId="22" applyFont="1" applyFill="1" applyBorder="1" applyAlignment="1" applyProtection="1">
      <alignment horizontal="left" vertical="center" wrapText="1" indent="1"/>
      <protection locked="0" hidden="1"/>
    </xf>
    <xf numFmtId="0" fontId="11" fillId="6" borderId="1" xfId="2" applyFont="1" applyFill="1" applyBorder="1" applyAlignment="1" applyProtection="1">
      <alignment horizontal="center" vertical="center"/>
      <protection hidden="1"/>
    </xf>
    <xf numFmtId="164" fontId="7" fillId="2" borderId="4" xfId="22" applyNumberFormat="1" applyFont="1" applyFill="1" applyBorder="1" applyAlignment="1" applyProtection="1">
      <alignment horizontal="left" vertical="center" wrapText="1" indent="1"/>
      <protection locked="0" hidden="1"/>
    </xf>
    <xf numFmtId="164" fontId="7" fillId="2" borderId="2" xfId="22" applyNumberFormat="1" applyFont="1" applyFill="1" applyBorder="1" applyAlignment="1" applyProtection="1">
      <alignment horizontal="left" vertical="center" wrapText="1" indent="1"/>
      <protection locked="0" hidden="1"/>
    </xf>
    <xf numFmtId="0" fontId="33" fillId="6" borderId="1" xfId="6" applyFont="1" applyFill="1" applyBorder="1" applyAlignment="1" applyProtection="1">
      <alignment horizontal="center" vertical="center" wrapText="1"/>
      <protection hidden="1"/>
    </xf>
    <xf numFmtId="0" fontId="3" fillId="6" borderId="4" xfId="22" applyFont="1" applyFill="1" applyBorder="1" applyAlignment="1" applyProtection="1">
      <alignment horizontal="left" vertical="center" wrapText="1" indent="1"/>
      <protection hidden="1"/>
    </xf>
    <xf numFmtId="0" fontId="3" fillId="6" borderId="5" xfId="22" applyFont="1" applyFill="1" applyBorder="1" applyAlignment="1" applyProtection="1">
      <alignment horizontal="left" vertical="center" wrapText="1" indent="1"/>
      <protection hidden="1"/>
    </xf>
    <xf numFmtId="0" fontId="3" fillId="6" borderId="2" xfId="22" applyFont="1" applyFill="1" applyBorder="1" applyAlignment="1" applyProtection="1">
      <alignment horizontal="left" vertical="center" wrapText="1" indent="1"/>
      <protection hidden="1"/>
    </xf>
    <xf numFmtId="0" fontId="3" fillId="6" borderId="4" xfId="2" applyFont="1" applyFill="1" applyBorder="1" applyAlignment="1" applyProtection="1">
      <alignment horizontal="center" vertical="center" wrapText="1"/>
      <protection hidden="1"/>
    </xf>
    <xf numFmtId="0" fontId="3" fillId="6" borderId="2" xfId="2" applyFont="1" applyFill="1" applyBorder="1" applyAlignment="1" applyProtection="1">
      <alignment horizontal="center" vertical="center" wrapText="1"/>
      <protection hidden="1"/>
    </xf>
    <xf numFmtId="0" fontId="3" fillId="6" borderId="4" xfId="2" applyFont="1" applyFill="1" applyBorder="1" applyAlignment="1" applyProtection="1">
      <alignment horizontal="left" vertical="center" wrapText="1" indent="1"/>
      <protection hidden="1"/>
    </xf>
    <xf numFmtId="0" fontId="3" fillId="6" borderId="5" xfId="2" applyFont="1" applyFill="1" applyBorder="1" applyAlignment="1" applyProtection="1">
      <alignment horizontal="left" vertical="center" wrapText="1" indent="1"/>
      <protection hidden="1"/>
    </xf>
    <xf numFmtId="0" fontId="3" fillId="6" borderId="2" xfId="2" applyFont="1" applyFill="1" applyBorder="1" applyAlignment="1" applyProtection="1">
      <alignment horizontal="left" vertical="center" wrapText="1" indent="1"/>
      <protection hidden="1"/>
    </xf>
    <xf numFmtId="0" fontId="7" fillId="2" borderId="5" xfId="2" applyFont="1" applyFill="1" applyBorder="1" applyAlignment="1" applyProtection="1">
      <alignment horizontal="center" vertical="center" wrapText="1"/>
      <protection locked="0" hidden="1"/>
    </xf>
    <xf numFmtId="0" fontId="3" fillId="6" borderId="4" xfId="10" applyFont="1" applyFill="1" applyBorder="1" applyAlignment="1" applyProtection="1">
      <alignment horizontal="center" vertical="center"/>
      <protection hidden="1"/>
    </xf>
    <xf numFmtId="0" fontId="3" fillId="6" borderId="5" xfId="10" applyFont="1" applyFill="1" applyBorder="1" applyAlignment="1" applyProtection="1">
      <alignment horizontal="center" vertical="center"/>
      <protection hidden="1"/>
    </xf>
    <xf numFmtId="0" fontId="3" fillId="6" borderId="2" xfId="10" applyFont="1" applyFill="1" applyBorder="1" applyAlignment="1" applyProtection="1">
      <alignment horizontal="center" vertical="center"/>
      <protection hidden="1"/>
    </xf>
    <xf numFmtId="0" fontId="7" fillId="2" borderId="4" xfId="4" applyFont="1" applyFill="1" applyBorder="1" applyAlignment="1" applyProtection="1">
      <alignment horizontal="left" vertical="center" wrapText="1" indent="1"/>
      <protection locked="0" hidden="1"/>
    </xf>
    <xf numFmtId="0" fontId="7" fillId="2" borderId="5" xfId="4" applyFont="1" applyFill="1" applyBorder="1" applyAlignment="1" applyProtection="1">
      <alignment horizontal="left" vertical="center" wrapText="1" indent="1"/>
      <protection locked="0" hidden="1"/>
    </xf>
    <xf numFmtId="0" fontId="7" fillId="2" borderId="2" xfId="4" applyFont="1" applyFill="1" applyBorder="1" applyAlignment="1" applyProtection="1">
      <alignment horizontal="left" vertical="center" wrapText="1" indent="1"/>
      <protection locked="0" hidden="1"/>
    </xf>
    <xf numFmtId="0" fontId="7" fillId="2" borderId="1" xfId="2" applyFont="1" applyFill="1" applyBorder="1" applyAlignment="1" applyProtection="1">
      <alignment horizontal="center" vertical="center" wrapText="1"/>
      <protection locked="0" hidden="1"/>
    </xf>
    <xf numFmtId="0" fontId="3" fillId="6" borderId="5" xfId="2" applyFont="1" applyFill="1" applyBorder="1" applyAlignment="1" applyProtection="1">
      <alignment horizontal="center" vertical="center" wrapText="1"/>
      <protection hidden="1"/>
    </xf>
    <xf numFmtId="0" fontId="3" fillId="6" borderId="4" xfId="6" applyFont="1" applyFill="1" applyBorder="1" applyAlignment="1" applyProtection="1">
      <alignment horizontal="center" vertical="center" wrapText="1"/>
      <protection hidden="1"/>
    </xf>
    <xf numFmtId="0" fontId="3" fillId="6" borderId="5" xfId="6" applyFont="1" applyFill="1" applyBorder="1" applyAlignment="1" applyProtection="1">
      <alignment horizontal="center" vertical="center" wrapText="1"/>
      <protection hidden="1"/>
    </xf>
    <xf numFmtId="0" fontId="3" fillId="6" borderId="2" xfId="6" applyFont="1" applyFill="1" applyBorder="1" applyAlignment="1" applyProtection="1">
      <alignment horizontal="center" vertical="center" wrapText="1"/>
      <protection hidden="1"/>
    </xf>
    <xf numFmtId="0" fontId="7" fillId="2" borderId="4" xfId="2" applyFont="1" applyFill="1" applyBorder="1" applyAlignment="1" applyProtection="1">
      <alignment horizontal="left" vertical="top" wrapText="1" indent="1"/>
      <protection locked="0" hidden="1"/>
    </xf>
    <xf numFmtId="0" fontId="7" fillId="2" borderId="5" xfId="2" applyFont="1" applyFill="1" applyBorder="1" applyAlignment="1" applyProtection="1">
      <alignment horizontal="left" vertical="top" wrapText="1" indent="1"/>
      <protection locked="0" hidden="1"/>
    </xf>
    <xf numFmtId="0" fontId="7" fillId="2" borderId="2" xfId="2" applyFont="1" applyFill="1" applyBorder="1" applyAlignment="1" applyProtection="1">
      <alignment horizontal="left" vertical="top" wrapText="1" indent="1"/>
      <protection locked="0" hidden="1"/>
    </xf>
    <xf numFmtId="0" fontId="3" fillId="6" borderId="1" xfId="6" applyFont="1" applyFill="1" applyBorder="1" applyAlignment="1" applyProtection="1">
      <alignment horizontal="center" vertical="center" wrapText="1"/>
      <protection hidden="1"/>
    </xf>
    <xf numFmtId="0" fontId="3" fillId="8" borderId="4" xfId="2" applyFont="1" applyFill="1" applyBorder="1" applyAlignment="1" applyProtection="1">
      <alignment horizontal="left" vertical="center" wrapText="1" indent="1"/>
      <protection hidden="1"/>
    </xf>
    <xf numFmtId="0" fontId="3" fillId="8" borderId="2" xfId="2" applyFont="1" applyFill="1" applyBorder="1" applyAlignment="1" applyProtection="1">
      <alignment horizontal="left" vertical="center" wrapText="1" indent="1"/>
      <protection hidden="1"/>
    </xf>
    <xf numFmtId="0" fontId="9" fillId="2" borderId="4" xfId="3" applyFont="1" applyFill="1" applyBorder="1" applyAlignment="1" applyProtection="1">
      <alignment horizontal="left" vertical="center" wrapText="1" indent="1"/>
      <protection locked="0" hidden="1"/>
    </xf>
    <xf numFmtId="0" fontId="9" fillId="2" borderId="5" xfId="3" applyFont="1" applyFill="1" applyBorder="1" applyAlignment="1" applyProtection="1">
      <alignment horizontal="left" vertical="center" wrapText="1" indent="1"/>
      <protection locked="0" hidden="1"/>
    </xf>
    <xf numFmtId="0" fontId="9" fillId="2" borderId="2" xfId="3" applyFont="1" applyFill="1" applyBorder="1" applyAlignment="1" applyProtection="1">
      <alignment horizontal="left" vertical="center" wrapText="1" indent="1"/>
      <protection locked="0" hidden="1"/>
    </xf>
    <xf numFmtId="0" fontId="7" fillId="2" borderId="4" xfId="3" applyFont="1" applyFill="1" applyBorder="1" applyAlignment="1" applyProtection="1">
      <alignment horizontal="left" vertical="center" wrapText="1" indent="1"/>
      <protection locked="0" hidden="1"/>
    </xf>
    <xf numFmtId="0" fontId="7" fillId="2" borderId="5" xfId="3" applyFont="1" applyFill="1" applyBorder="1" applyAlignment="1" applyProtection="1">
      <alignment horizontal="left" vertical="center" wrapText="1" indent="1"/>
      <protection locked="0" hidden="1"/>
    </xf>
    <xf numFmtId="0" fontId="7" fillId="2" borderId="2" xfId="3" applyFont="1" applyFill="1" applyBorder="1" applyAlignment="1" applyProtection="1">
      <alignment horizontal="left" vertical="center" wrapText="1" indent="1"/>
      <protection locked="0" hidden="1"/>
    </xf>
    <xf numFmtId="0" fontId="3" fillId="8" borderId="4" xfId="2" applyFont="1" applyFill="1" applyBorder="1" applyAlignment="1" applyProtection="1">
      <alignment horizontal="left" vertical="center" indent="1"/>
      <protection hidden="1"/>
    </xf>
    <xf numFmtId="0" fontId="3" fillId="8" borderId="5" xfId="2" applyFont="1" applyFill="1" applyBorder="1" applyAlignment="1" applyProtection="1">
      <alignment horizontal="left" vertical="center" indent="1"/>
      <protection hidden="1"/>
    </xf>
    <xf numFmtId="0" fontId="9" fillId="0" borderId="10" xfId="3" applyFont="1" applyFill="1" applyBorder="1" applyAlignment="1" applyProtection="1">
      <alignment horizontal="center" vertical="center"/>
      <protection hidden="1"/>
    </xf>
    <xf numFmtId="0" fontId="9" fillId="0" borderId="11" xfId="3" applyFont="1" applyFill="1" applyBorder="1" applyAlignment="1" applyProtection="1">
      <alignment horizontal="center" vertical="center"/>
      <protection hidden="1"/>
    </xf>
    <xf numFmtId="0" fontId="9" fillId="0" borderId="12" xfId="3" applyFont="1" applyFill="1" applyBorder="1" applyAlignment="1" applyProtection="1">
      <alignment horizontal="center" vertical="center"/>
      <protection hidden="1"/>
    </xf>
    <xf numFmtId="0" fontId="3" fillId="6" borderId="4" xfId="6" applyFont="1" applyFill="1" applyBorder="1" applyAlignment="1" applyProtection="1">
      <alignment horizontal="left" vertical="center" wrapText="1" indent="1"/>
      <protection hidden="1"/>
    </xf>
    <xf numFmtId="0" fontId="3" fillId="6" borderId="5" xfId="6" applyFont="1" applyFill="1" applyBorder="1" applyAlignment="1" applyProtection="1">
      <alignment horizontal="left" vertical="center" wrapText="1" indent="1"/>
      <protection hidden="1"/>
    </xf>
    <xf numFmtId="0" fontId="3" fillId="6" borderId="2" xfId="6" applyFont="1" applyFill="1" applyBorder="1" applyAlignment="1" applyProtection="1">
      <alignment horizontal="left" vertical="center" wrapText="1" indent="1"/>
      <protection hidden="1"/>
    </xf>
    <xf numFmtId="0" fontId="7" fillId="2" borderId="4" xfId="2" applyFont="1" applyFill="1" applyBorder="1" applyAlignment="1" applyProtection="1">
      <alignment horizontal="left" vertical="center" wrapText="1" indent="1"/>
      <protection locked="0" hidden="1"/>
    </xf>
    <xf numFmtId="0" fontId="7" fillId="2" borderId="2" xfId="2" applyFont="1" applyFill="1" applyBorder="1" applyAlignment="1" applyProtection="1">
      <alignment horizontal="left" vertical="center" wrapText="1" indent="1"/>
      <protection locked="0" hidden="1"/>
    </xf>
    <xf numFmtId="0" fontId="7" fillId="2" borderId="1" xfId="2" applyFont="1" applyFill="1" applyBorder="1" applyAlignment="1" applyProtection="1">
      <alignment horizontal="left" vertical="center" wrapText="1" indent="1"/>
      <protection locked="0" hidden="1"/>
    </xf>
    <xf numFmtId="0" fontId="7" fillId="2" borderId="5" xfId="2" applyFont="1" applyFill="1" applyBorder="1" applyAlignment="1" applyProtection="1">
      <alignment horizontal="left" vertical="center" wrapText="1" indent="1"/>
      <protection locked="0" hidden="1"/>
    </xf>
    <xf numFmtId="166" fontId="13" fillId="4" borderId="4" xfId="0" applyNumberFormat="1" applyFont="1" applyFill="1" applyBorder="1" applyAlignment="1" applyProtection="1">
      <alignment horizontal="left" vertical="center" wrapText="1" indent="1"/>
      <protection hidden="1"/>
    </xf>
    <xf numFmtId="166" fontId="13" fillId="4" borderId="5" xfId="0" applyNumberFormat="1" applyFont="1" applyFill="1" applyBorder="1" applyAlignment="1" applyProtection="1">
      <alignment horizontal="left" vertical="center" wrapText="1" indent="1"/>
      <protection hidden="1"/>
    </xf>
    <xf numFmtId="166" fontId="13" fillId="4" borderId="2" xfId="0" applyNumberFormat="1" applyFont="1" applyFill="1" applyBorder="1" applyAlignment="1" applyProtection="1">
      <alignment horizontal="left" vertical="center" wrapText="1" indent="1"/>
      <protection hidden="1"/>
    </xf>
    <xf numFmtId="0" fontId="3" fillId="6" borderId="1" xfId="22" applyFont="1" applyFill="1" applyBorder="1" applyAlignment="1" applyProtection="1">
      <alignment horizontal="left" vertical="center" wrapText="1" indent="1"/>
      <protection hidden="1"/>
    </xf>
    <xf numFmtId="0" fontId="11" fillId="6" borderId="1" xfId="2" applyFont="1" applyFill="1" applyBorder="1" applyAlignment="1" applyProtection="1">
      <alignment horizontal="center" vertical="center" wrapText="1"/>
      <protection hidden="1"/>
    </xf>
    <xf numFmtId="0" fontId="7" fillId="2" borderId="1" xfId="2" applyFont="1" applyFill="1" applyBorder="1" applyAlignment="1" applyProtection="1">
      <alignment horizontal="left" vertical="center" wrapText="1"/>
      <protection locked="0" hidden="1"/>
    </xf>
    <xf numFmtId="0" fontId="7" fillId="2" borderId="4" xfId="2" applyFont="1" applyFill="1" applyBorder="1" applyAlignment="1" applyProtection="1">
      <alignment vertical="center" wrapText="1"/>
      <protection locked="0" hidden="1"/>
    </xf>
    <xf numFmtId="0" fontId="7" fillId="2" borderId="5" xfId="2" applyFont="1" applyFill="1" applyBorder="1" applyAlignment="1" applyProtection="1">
      <alignment vertical="center" wrapText="1"/>
      <protection locked="0" hidden="1"/>
    </xf>
    <xf numFmtId="0" fontId="7" fillId="2" borderId="2" xfId="2" applyFont="1" applyFill="1" applyBorder="1" applyAlignment="1" applyProtection="1">
      <alignment vertical="center" wrapText="1"/>
      <protection locked="0" hidden="1"/>
    </xf>
    <xf numFmtId="0" fontId="30" fillId="8" borderId="4" xfId="3" applyFont="1" applyFill="1" applyBorder="1" applyAlignment="1" applyProtection="1">
      <alignment horizontal="left" vertical="center" wrapText="1" indent="3"/>
      <protection hidden="1"/>
    </xf>
    <xf numFmtId="0" fontId="30" fillId="8" borderId="5" xfId="3" applyFont="1" applyFill="1" applyBorder="1" applyAlignment="1" applyProtection="1">
      <alignment horizontal="left" vertical="center" wrapText="1" indent="3"/>
      <protection hidden="1"/>
    </xf>
    <xf numFmtId="0" fontId="30" fillId="8" borderId="2" xfId="3" applyFont="1" applyFill="1" applyBorder="1" applyAlignment="1" applyProtection="1">
      <alignment horizontal="left" vertical="center" wrapText="1" indent="3"/>
      <protection hidden="1"/>
    </xf>
    <xf numFmtId="0" fontId="13" fillId="4" borderId="4" xfId="4" applyFont="1" applyFill="1" applyBorder="1" applyAlignment="1" applyProtection="1">
      <alignment horizontal="left" vertical="center" wrapText="1" indent="1"/>
      <protection hidden="1"/>
    </xf>
    <xf numFmtId="0" fontId="13" fillId="4" borderId="5" xfId="4" applyFont="1" applyFill="1" applyBorder="1" applyAlignment="1" applyProtection="1">
      <alignment horizontal="left" vertical="center" wrapText="1" indent="1"/>
      <protection hidden="1"/>
    </xf>
    <xf numFmtId="0" fontId="13" fillId="4" borderId="2" xfId="4" applyFont="1" applyFill="1" applyBorder="1" applyAlignment="1" applyProtection="1">
      <alignment horizontal="left" vertical="center" wrapText="1" indent="1"/>
      <protection hidden="1"/>
    </xf>
    <xf numFmtId="0" fontId="7" fillId="2" borderId="4" xfId="6" applyFont="1" applyFill="1" applyBorder="1" applyAlignment="1" applyProtection="1">
      <alignment horizontal="left" vertical="center" wrapText="1" indent="1"/>
      <protection locked="0" hidden="1"/>
    </xf>
    <xf numFmtId="0" fontId="7" fillId="2" borderId="5" xfId="6" applyFont="1" applyFill="1" applyBorder="1" applyAlignment="1" applyProtection="1">
      <alignment horizontal="left" vertical="center" wrapText="1" indent="1"/>
      <protection locked="0" hidden="1"/>
    </xf>
    <xf numFmtId="0" fontId="7" fillId="2" borderId="2" xfId="6" applyFont="1" applyFill="1" applyBorder="1" applyAlignment="1" applyProtection="1">
      <alignment horizontal="left" vertical="center" wrapText="1" indent="1"/>
      <protection locked="0" hidden="1"/>
    </xf>
    <xf numFmtId="0" fontId="3" fillId="6" borderId="4" xfId="22" applyFont="1" applyFill="1" applyBorder="1" applyAlignment="1" applyProtection="1">
      <alignment horizontal="center" vertical="center" wrapText="1"/>
      <protection hidden="1"/>
    </xf>
    <xf numFmtId="0" fontId="3" fillId="6" borderId="2" xfId="22" applyFont="1" applyFill="1" applyBorder="1" applyAlignment="1" applyProtection="1">
      <alignment horizontal="center" vertical="center" wrapText="1"/>
      <protection hidden="1"/>
    </xf>
    <xf numFmtId="0" fontId="13" fillId="4" borderId="1" xfId="22" applyFont="1" applyFill="1" applyBorder="1" applyAlignment="1" applyProtection="1">
      <alignment horizontal="left" vertical="center" wrapText="1" indent="1"/>
      <protection hidden="1"/>
    </xf>
    <xf numFmtId="0" fontId="30" fillId="8" borderId="14" xfId="2" applyFont="1" applyFill="1" applyBorder="1" applyAlignment="1" applyProtection="1">
      <alignment horizontal="left" vertical="center" wrapText="1" indent="1"/>
      <protection hidden="1"/>
    </xf>
    <xf numFmtId="0" fontId="30" fillId="8" borderId="0" xfId="2" applyFont="1" applyFill="1" applyBorder="1" applyAlignment="1" applyProtection="1">
      <alignment horizontal="left" vertical="center" wrapText="1" indent="1"/>
      <protection hidden="1"/>
    </xf>
    <xf numFmtId="0" fontId="3" fillId="6" borderId="1" xfId="2" applyFont="1" applyFill="1" applyBorder="1" applyAlignment="1" applyProtection="1">
      <alignment horizontal="left" vertical="center" wrapText="1" indent="1"/>
      <protection hidden="1"/>
    </xf>
    <xf numFmtId="0" fontId="30" fillId="8" borderId="14" xfId="3" applyFont="1" applyFill="1" applyBorder="1" applyAlignment="1" applyProtection="1">
      <alignment horizontal="left" vertical="center" wrapText="1" indent="1"/>
      <protection hidden="1"/>
    </xf>
    <xf numFmtId="0" fontId="30" fillId="8" borderId="0" xfId="3" applyFont="1" applyFill="1" applyBorder="1" applyAlignment="1" applyProtection="1">
      <alignment horizontal="left" vertical="center" wrapText="1" indent="1"/>
      <protection hidden="1"/>
    </xf>
    <xf numFmtId="0" fontId="44" fillId="0" borderId="14" xfId="29" applyFont="1" applyFill="1" applyBorder="1" applyAlignment="1" applyProtection="1">
      <alignment horizontal="left" vertical="center" wrapText="1"/>
      <protection locked="0" hidden="1"/>
    </xf>
    <xf numFmtId="0" fontId="44" fillId="0" borderId="0" xfId="29" applyFont="1" applyFill="1" applyBorder="1" applyAlignment="1" applyProtection="1">
      <alignment horizontal="left" vertical="center" wrapText="1"/>
      <protection locked="0" hidden="1"/>
    </xf>
    <xf numFmtId="0" fontId="30" fillId="8" borderId="4" xfId="3" applyFont="1" applyFill="1" applyBorder="1" applyAlignment="1" applyProtection="1">
      <alignment horizontal="left" vertical="center" wrapText="1" indent="1"/>
      <protection hidden="1"/>
    </xf>
    <xf numFmtId="0" fontId="30" fillId="8" borderId="5" xfId="3" applyFont="1" applyFill="1" applyBorder="1" applyAlignment="1" applyProtection="1">
      <alignment horizontal="left" vertical="center" wrapText="1" indent="1"/>
      <protection hidden="1"/>
    </xf>
    <xf numFmtId="0" fontId="30" fillId="8" borderId="2" xfId="3" applyFont="1" applyFill="1" applyBorder="1" applyAlignment="1" applyProtection="1">
      <alignment horizontal="left" vertical="center" wrapText="1" indent="1"/>
      <protection hidden="1"/>
    </xf>
    <xf numFmtId="0" fontId="3" fillId="6" borderId="1" xfId="2" applyFont="1" applyFill="1" applyBorder="1" applyAlignment="1" applyProtection="1">
      <alignment horizontal="center" vertical="center" wrapText="1"/>
      <protection hidden="1"/>
    </xf>
    <xf numFmtId="0" fontId="7" fillId="2" borderId="4" xfId="29" applyFont="1" applyFill="1" applyBorder="1" applyAlignment="1" applyProtection="1">
      <alignment horizontal="left" vertical="center" wrapText="1" indent="1"/>
      <protection hidden="1"/>
    </xf>
    <xf numFmtId="0" fontId="7" fillId="2" borderId="5" xfId="29" applyFont="1" applyFill="1" applyBorder="1" applyAlignment="1" applyProtection="1">
      <alignment horizontal="left" vertical="center" wrapText="1" indent="1"/>
      <protection hidden="1"/>
    </xf>
    <xf numFmtId="0" fontId="7" fillId="2" borderId="2" xfId="29" applyFont="1" applyFill="1" applyBorder="1" applyAlignment="1" applyProtection="1">
      <alignment horizontal="left" vertical="center" wrapText="1" indent="1"/>
      <protection hidden="1"/>
    </xf>
    <xf numFmtId="0" fontId="24" fillId="6" borderId="9" xfId="6" applyFont="1" applyFill="1" applyBorder="1" applyAlignment="1" applyProtection="1">
      <alignment horizontal="center" vertical="center" wrapText="1"/>
      <protection hidden="1"/>
    </xf>
    <xf numFmtId="0" fontId="24" fillId="6" borderId="16" xfId="6" applyFont="1" applyFill="1" applyBorder="1" applyAlignment="1" applyProtection="1">
      <alignment horizontal="center" vertical="center" wrapText="1"/>
      <protection hidden="1"/>
    </xf>
    <xf numFmtId="0" fontId="24" fillId="6" borderId="13" xfId="6" applyFont="1" applyFill="1" applyBorder="1" applyAlignment="1" applyProtection="1">
      <alignment horizontal="center" vertical="center" wrapText="1"/>
      <protection hidden="1"/>
    </xf>
    <xf numFmtId="0" fontId="30" fillId="8" borderId="4" xfId="2" applyFont="1" applyFill="1" applyBorder="1" applyAlignment="1" applyProtection="1">
      <alignment horizontal="left" vertical="center" wrapText="1" indent="1"/>
      <protection hidden="1"/>
    </xf>
    <xf numFmtId="0" fontId="30" fillId="8" borderId="5" xfId="2" applyFont="1" applyFill="1" applyBorder="1" applyAlignment="1" applyProtection="1">
      <alignment horizontal="left" vertical="center" wrapText="1" indent="1"/>
      <protection hidden="1"/>
    </xf>
    <xf numFmtId="0" fontId="30" fillId="8" borderId="2" xfId="2" applyFont="1" applyFill="1" applyBorder="1" applyAlignment="1" applyProtection="1">
      <alignment horizontal="left" vertical="center" wrapText="1" indent="1"/>
      <protection hidden="1"/>
    </xf>
    <xf numFmtId="0" fontId="18" fillId="2" borderId="4" xfId="4" applyFont="1" applyFill="1" applyBorder="1" applyAlignment="1" applyProtection="1">
      <alignment horizontal="left" vertical="center" wrapText="1" indent="1"/>
      <protection locked="0" hidden="1"/>
    </xf>
    <xf numFmtId="0" fontId="18" fillId="2" borderId="5" xfId="4" applyFont="1" applyFill="1" applyBorder="1" applyAlignment="1" applyProtection="1">
      <alignment horizontal="left" vertical="center" wrapText="1" indent="1"/>
      <protection locked="0" hidden="1"/>
    </xf>
    <xf numFmtId="0" fontId="18" fillId="2" borderId="2" xfId="4" applyFont="1" applyFill="1" applyBorder="1" applyAlignment="1" applyProtection="1">
      <alignment horizontal="left" vertical="center" wrapText="1" indent="1"/>
      <protection locked="0" hidden="1"/>
    </xf>
    <xf numFmtId="0" fontId="9" fillId="2" borderId="1" xfId="2" applyFont="1" applyFill="1" applyBorder="1" applyAlignment="1" applyProtection="1">
      <alignment horizontal="left" vertical="center" wrapText="1" indent="1"/>
      <protection locked="0" hidden="1"/>
    </xf>
    <xf numFmtId="0" fontId="3" fillId="6" borderId="1" xfId="6" applyFont="1" applyFill="1" applyBorder="1" applyAlignment="1" applyProtection="1">
      <alignment horizontal="left" vertical="center" wrapText="1" indent="1"/>
      <protection hidden="1"/>
    </xf>
    <xf numFmtId="0" fontId="13" fillId="4" borderId="4" xfId="5" applyFont="1" applyFill="1" applyBorder="1" applyAlignment="1" applyProtection="1">
      <alignment horizontal="left" vertical="center" wrapText="1" indent="1"/>
      <protection hidden="1"/>
    </xf>
    <xf numFmtId="0" fontId="13" fillId="4" borderId="5" xfId="5" applyFont="1" applyFill="1" applyBorder="1" applyAlignment="1" applyProtection="1">
      <alignment horizontal="left" vertical="center" wrapText="1" indent="1"/>
      <protection hidden="1"/>
    </xf>
    <xf numFmtId="0" fontId="13" fillId="4" borderId="2" xfId="5" applyFont="1" applyFill="1" applyBorder="1" applyAlignment="1" applyProtection="1">
      <alignment horizontal="left" vertical="center" wrapText="1" indent="1"/>
      <protection hidden="1"/>
    </xf>
    <xf numFmtId="0" fontId="31" fillId="6" borderId="1" xfId="6" applyFont="1" applyFill="1" applyBorder="1" applyAlignment="1" applyProtection="1">
      <alignment horizontal="left" vertical="center" wrapText="1" indent="1"/>
      <protection hidden="1"/>
    </xf>
    <xf numFmtId="0" fontId="3" fillId="3" borderId="6" xfId="6" applyFont="1" applyFill="1" applyBorder="1" applyAlignment="1" applyProtection="1">
      <alignment horizontal="left" vertical="center" wrapText="1" indent="1"/>
      <protection hidden="1"/>
    </xf>
    <xf numFmtId="0" fontId="3" fillId="3" borderId="7" xfId="6" applyFont="1" applyFill="1" applyBorder="1" applyAlignment="1" applyProtection="1">
      <alignment horizontal="left" vertical="center" wrapText="1" indent="1"/>
      <protection hidden="1"/>
    </xf>
    <xf numFmtId="0" fontId="7" fillId="2" borderId="4" xfId="3" applyFont="1" applyFill="1" applyBorder="1" applyAlignment="1" applyProtection="1">
      <alignment horizontal="left" vertical="center" indent="1"/>
      <protection locked="0" hidden="1"/>
    </xf>
    <xf numFmtId="0" fontId="7" fillId="2" borderId="5" xfId="3" applyFont="1" applyFill="1" applyBorder="1" applyAlignment="1" applyProtection="1">
      <alignment horizontal="left" vertical="center" indent="1"/>
      <protection locked="0" hidden="1"/>
    </xf>
    <xf numFmtId="0" fontId="7" fillId="2" borderId="2" xfId="3" applyFont="1" applyFill="1" applyBorder="1" applyAlignment="1" applyProtection="1">
      <alignment horizontal="left" vertical="center" indent="1"/>
      <protection locked="0" hidden="1"/>
    </xf>
    <xf numFmtId="0" fontId="3" fillId="6" borderId="6" xfId="6" applyFont="1" applyFill="1" applyBorder="1" applyAlignment="1" applyProtection="1">
      <alignment horizontal="left" vertical="center" wrapText="1" indent="1"/>
      <protection hidden="1"/>
    </xf>
    <xf numFmtId="0" fontId="3" fillId="6" borderId="7" xfId="6" applyFont="1" applyFill="1" applyBorder="1" applyAlignment="1" applyProtection="1">
      <alignment horizontal="left" vertical="center" wrapText="1" indent="1"/>
      <protection hidden="1"/>
    </xf>
    <xf numFmtId="0" fontId="3" fillId="6" borderId="8" xfId="6" applyFont="1" applyFill="1" applyBorder="1" applyAlignment="1" applyProtection="1">
      <alignment horizontal="left" vertical="center" wrapText="1" indent="1"/>
      <protection hidden="1"/>
    </xf>
    <xf numFmtId="0" fontId="3" fillId="6" borderId="14" xfId="6" applyFont="1" applyFill="1" applyBorder="1" applyAlignment="1" applyProtection="1">
      <alignment horizontal="left" vertical="center" wrapText="1" indent="1"/>
      <protection hidden="1"/>
    </xf>
    <xf numFmtId="0" fontId="3" fillId="6" borderId="0" xfId="6" applyFont="1" applyFill="1" applyBorder="1" applyAlignment="1" applyProtection="1">
      <alignment horizontal="left" vertical="center" wrapText="1" indent="1"/>
      <protection hidden="1"/>
    </xf>
    <xf numFmtId="0" fontId="3" fillId="6" borderId="3" xfId="6" applyFont="1" applyFill="1" applyBorder="1" applyAlignment="1" applyProtection="1">
      <alignment horizontal="left" vertical="center" wrapText="1" indent="1"/>
      <protection hidden="1"/>
    </xf>
    <xf numFmtId="0" fontId="3" fillId="6" borderId="10" xfId="6" applyFont="1" applyFill="1" applyBorder="1" applyAlignment="1" applyProtection="1">
      <alignment horizontal="left" vertical="center" wrapText="1" indent="1"/>
      <protection hidden="1"/>
    </xf>
    <xf numFmtId="0" fontId="3" fillId="6" borderId="11" xfId="6" applyFont="1" applyFill="1" applyBorder="1" applyAlignment="1" applyProtection="1">
      <alignment horizontal="left" vertical="center" wrapText="1" indent="1"/>
      <protection hidden="1"/>
    </xf>
    <xf numFmtId="0" fontId="3" fillId="6" borderId="12" xfId="6" applyFont="1" applyFill="1" applyBorder="1" applyAlignment="1" applyProtection="1">
      <alignment horizontal="left" vertical="center" wrapText="1" indent="1"/>
      <protection hidden="1"/>
    </xf>
    <xf numFmtId="0" fontId="30" fillId="8" borderId="1" xfId="2" applyFont="1" applyFill="1" applyBorder="1" applyAlignment="1" applyProtection="1">
      <alignment horizontal="left" vertical="center" wrapText="1" indent="1"/>
      <protection hidden="1"/>
    </xf>
    <xf numFmtId="0" fontId="30" fillId="8" borderId="1" xfId="2" applyFont="1" applyFill="1" applyBorder="1" applyAlignment="1" applyProtection="1">
      <alignment horizontal="left" vertical="center" wrapText="1" indent="3"/>
      <protection hidden="1"/>
    </xf>
    <xf numFmtId="0" fontId="3" fillId="3" borderId="4" xfId="6" applyFont="1" applyFill="1" applyBorder="1" applyAlignment="1" applyProtection="1">
      <alignment horizontal="left" vertical="center" wrapText="1" indent="1"/>
      <protection hidden="1"/>
    </xf>
    <xf numFmtId="0" fontId="3" fillId="3" borderId="5" xfId="6" applyFont="1" applyFill="1" applyBorder="1" applyAlignment="1" applyProtection="1">
      <alignment horizontal="left" vertical="center" wrapText="1" indent="1"/>
      <protection hidden="1"/>
    </xf>
    <xf numFmtId="0" fontId="3" fillId="3" borderId="2" xfId="6" applyFont="1" applyFill="1" applyBorder="1" applyAlignment="1" applyProtection="1">
      <alignment horizontal="left" vertical="center" wrapText="1" indent="1"/>
      <protection hidden="1"/>
    </xf>
    <xf numFmtId="0" fontId="3" fillId="6" borderId="4" xfId="8" applyFont="1" applyFill="1" applyBorder="1" applyAlignment="1" applyProtection="1">
      <alignment horizontal="left" vertical="center" indent="3"/>
      <protection hidden="1"/>
    </xf>
    <xf numFmtId="0" fontId="3" fillId="6" borderId="5" xfId="8" applyFont="1" applyFill="1" applyBorder="1" applyAlignment="1" applyProtection="1">
      <alignment horizontal="left" vertical="center" indent="3"/>
      <protection hidden="1"/>
    </xf>
    <xf numFmtId="0" fontId="3" fillId="6" borderId="2" xfId="8" applyFont="1" applyFill="1" applyBorder="1" applyAlignment="1" applyProtection="1">
      <alignment horizontal="left" vertical="center" indent="3"/>
      <protection hidden="1"/>
    </xf>
    <xf numFmtId="0" fontId="7" fillId="2" borderId="4" xfId="4" applyFont="1" applyFill="1" applyBorder="1" applyAlignment="1" applyProtection="1">
      <alignment horizontal="left" vertical="center" wrapText="1" indent="1"/>
      <protection hidden="1"/>
    </xf>
    <xf numFmtId="0" fontId="7" fillId="2" borderId="5" xfId="4" applyFont="1" applyFill="1" applyBorder="1" applyAlignment="1" applyProtection="1">
      <alignment horizontal="left" vertical="center" wrapText="1" indent="1"/>
      <protection hidden="1"/>
    </xf>
    <xf numFmtId="0" fontId="7" fillId="2" borderId="2" xfId="4" applyFont="1" applyFill="1" applyBorder="1" applyAlignment="1" applyProtection="1">
      <alignment horizontal="left" vertical="center" wrapText="1" indent="1"/>
      <protection hidden="1"/>
    </xf>
    <xf numFmtId="0" fontId="3" fillId="6" borderId="6" xfId="6" applyFont="1" applyFill="1" applyBorder="1" applyAlignment="1" applyProtection="1">
      <alignment horizontal="left" vertical="center" wrapText="1" indent="3"/>
      <protection hidden="1"/>
    </xf>
    <xf numFmtId="0" fontId="3" fillId="6" borderId="8" xfId="6" applyFont="1" applyFill="1" applyBorder="1" applyAlignment="1" applyProtection="1">
      <alignment horizontal="left" vertical="center" wrapText="1" indent="3"/>
      <protection hidden="1"/>
    </xf>
    <xf numFmtId="0" fontId="3" fillId="6" borderId="10" xfId="6" applyFont="1" applyFill="1" applyBorder="1" applyAlignment="1" applyProtection="1">
      <alignment horizontal="left" vertical="center" wrapText="1" indent="3"/>
      <protection hidden="1"/>
    </xf>
    <xf numFmtId="0" fontId="3" fillId="6" borderId="12" xfId="6" applyFont="1" applyFill="1" applyBorder="1" applyAlignment="1" applyProtection="1">
      <alignment horizontal="left" vertical="center" wrapText="1" indent="3"/>
      <protection hidden="1"/>
    </xf>
    <xf numFmtId="0" fontId="3" fillId="6" borderId="6" xfId="3" applyFont="1" applyFill="1" applyBorder="1" applyAlignment="1" applyProtection="1">
      <alignment horizontal="left" vertical="center" wrapText="1" indent="1"/>
      <protection hidden="1"/>
    </xf>
    <xf numFmtId="0" fontId="3" fillId="6" borderId="7" xfId="3" applyFont="1" applyFill="1" applyBorder="1" applyAlignment="1" applyProtection="1">
      <alignment horizontal="left" vertical="center" wrapText="1" indent="1"/>
      <protection hidden="1"/>
    </xf>
    <xf numFmtId="0" fontId="3" fillId="6" borderId="8" xfId="3" applyFont="1" applyFill="1" applyBorder="1" applyAlignment="1" applyProtection="1">
      <alignment horizontal="left" vertical="center" wrapText="1" indent="1"/>
      <protection hidden="1"/>
    </xf>
    <xf numFmtId="0" fontId="3" fillId="8" borderId="2" xfId="2" applyFont="1" applyFill="1" applyBorder="1" applyAlignment="1" applyProtection="1">
      <alignment horizontal="left" vertical="center" indent="1"/>
      <protection hidden="1"/>
    </xf>
    <xf numFmtId="0" fontId="7" fillId="2" borderId="4" xfId="6" applyFont="1" applyFill="1" applyBorder="1" applyAlignment="1" applyProtection="1">
      <alignment horizontal="left" vertical="top" wrapText="1" indent="1"/>
      <protection locked="0" hidden="1"/>
    </xf>
    <xf numFmtId="0" fontId="7" fillId="2" borderId="5" xfId="6" applyFont="1" applyFill="1" applyBorder="1" applyAlignment="1" applyProtection="1">
      <alignment horizontal="left" vertical="top" wrapText="1" indent="1"/>
      <protection locked="0" hidden="1"/>
    </xf>
    <xf numFmtId="0" fontId="7" fillId="2" borderId="2" xfId="6" applyFont="1" applyFill="1" applyBorder="1" applyAlignment="1" applyProtection="1">
      <alignment horizontal="left" vertical="top" wrapText="1" indent="1"/>
      <protection locked="0" hidden="1"/>
    </xf>
    <xf numFmtId="0" fontId="9" fillId="2" borderId="4" xfId="2" applyFont="1" applyFill="1" applyBorder="1" applyAlignment="1" applyProtection="1">
      <alignment horizontal="left" vertical="center" wrapText="1" indent="1"/>
      <protection locked="0" hidden="1"/>
    </xf>
    <xf numFmtId="0" fontId="9" fillId="2" borderId="2" xfId="2" applyFont="1" applyFill="1" applyBorder="1" applyAlignment="1" applyProtection="1">
      <alignment horizontal="left" vertical="center" wrapText="1" indent="1"/>
      <protection locked="0" hidden="1"/>
    </xf>
    <xf numFmtId="0" fontId="3" fillId="6" borderId="4" xfId="8" applyFont="1" applyFill="1" applyBorder="1" applyAlignment="1" applyProtection="1">
      <alignment horizontal="center" vertical="center"/>
      <protection hidden="1"/>
    </xf>
    <xf numFmtId="0" fontId="3" fillId="6" borderId="5" xfId="8" applyFont="1" applyFill="1" applyBorder="1" applyAlignment="1" applyProtection="1">
      <alignment horizontal="center" vertical="center"/>
      <protection hidden="1"/>
    </xf>
    <xf numFmtId="0" fontId="3" fillId="6" borderId="2" xfId="8" applyFont="1" applyFill="1" applyBorder="1" applyAlignment="1" applyProtection="1">
      <alignment horizontal="center" vertical="center"/>
      <protection hidden="1"/>
    </xf>
    <xf numFmtId="0" fontId="3" fillId="6" borderId="4" xfId="10" applyFont="1" applyFill="1" applyBorder="1" applyAlignment="1" applyProtection="1">
      <alignment horizontal="left" vertical="center" wrapText="1" indent="1"/>
      <protection hidden="1"/>
    </xf>
    <xf numFmtId="0" fontId="3" fillId="6" borderId="5" xfId="10" applyFont="1" applyFill="1" applyBorder="1" applyAlignment="1" applyProtection="1">
      <alignment horizontal="left" vertical="center" wrapText="1" indent="1"/>
      <protection hidden="1"/>
    </xf>
    <xf numFmtId="0" fontId="3" fillId="6" borderId="2" xfId="10" applyFont="1" applyFill="1" applyBorder="1" applyAlignment="1" applyProtection="1">
      <alignment horizontal="left" vertical="center" wrapText="1" indent="1"/>
      <protection hidden="1"/>
    </xf>
    <xf numFmtId="0" fontId="3" fillId="6" borderId="4" xfId="10" applyFont="1" applyFill="1" applyBorder="1" applyAlignment="1" applyProtection="1">
      <alignment horizontal="center" vertical="center" wrapText="1"/>
      <protection hidden="1"/>
    </xf>
    <xf numFmtId="0" fontId="3" fillId="6" borderId="5" xfId="10" applyFont="1" applyFill="1" applyBorder="1" applyAlignment="1" applyProtection="1">
      <alignment horizontal="center" vertical="center" wrapText="1"/>
      <protection hidden="1"/>
    </xf>
    <xf numFmtId="0" fontId="3" fillId="6" borderId="2" xfId="10" applyFont="1" applyFill="1" applyBorder="1" applyAlignment="1" applyProtection="1">
      <alignment horizontal="center" vertical="center" wrapText="1"/>
      <protection hidden="1"/>
    </xf>
    <xf numFmtId="0" fontId="3" fillId="6" borderId="1" xfId="4" applyFont="1" applyFill="1" applyBorder="1" applyAlignment="1" applyProtection="1">
      <alignment horizontal="center" vertical="center"/>
      <protection hidden="1"/>
    </xf>
    <xf numFmtId="0" fontId="30" fillId="8" borderId="1" xfId="3" applyFont="1" applyFill="1" applyBorder="1" applyAlignment="1" applyProtection="1">
      <alignment horizontal="left" vertical="center" wrapText="1" indent="1"/>
      <protection hidden="1"/>
    </xf>
    <xf numFmtId="0" fontId="30" fillId="8" borderId="14" xfId="29" applyFont="1" applyFill="1" applyBorder="1" applyAlignment="1" applyProtection="1">
      <alignment horizontal="left" vertical="center" wrapText="1" indent="3"/>
      <protection hidden="1"/>
    </xf>
    <xf numFmtId="0" fontId="30" fillId="8" borderId="0" xfId="29" applyFont="1" applyFill="1" applyBorder="1" applyAlignment="1" applyProtection="1">
      <alignment horizontal="left" vertical="center" wrapText="1" indent="3"/>
      <protection hidden="1"/>
    </xf>
    <xf numFmtId="0" fontId="3" fillId="6" borderId="4" xfId="6" applyFont="1" applyFill="1" applyBorder="1" applyAlignment="1" applyProtection="1">
      <alignment horizontal="left" vertical="center" wrapText="1" indent="3"/>
      <protection hidden="1"/>
    </xf>
    <xf numFmtId="0" fontId="3" fillId="6" borderId="5" xfId="6" applyFont="1" applyFill="1" applyBorder="1" applyAlignment="1" applyProtection="1">
      <alignment horizontal="left" vertical="center" wrapText="1" indent="3"/>
      <protection hidden="1"/>
    </xf>
    <xf numFmtId="0" fontId="3" fillId="6" borderId="2" xfId="6" applyFont="1" applyFill="1" applyBorder="1" applyAlignment="1" applyProtection="1">
      <alignment horizontal="left" vertical="center" wrapText="1" indent="3"/>
      <protection hidden="1"/>
    </xf>
    <xf numFmtId="0" fontId="30" fillId="8" borderId="14" xfId="3" applyFont="1" applyFill="1" applyBorder="1" applyAlignment="1" applyProtection="1">
      <alignment horizontal="left" vertical="center" wrapText="1" indent="3"/>
      <protection hidden="1"/>
    </xf>
    <xf numFmtId="0" fontId="30" fillId="8" borderId="0" xfId="3" applyFont="1" applyFill="1" applyBorder="1" applyAlignment="1" applyProtection="1">
      <alignment horizontal="left" vertical="center" wrapText="1" indent="3"/>
      <protection hidden="1"/>
    </xf>
    <xf numFmtId="0" fontId="13" fillId="4" borderId="1" xfId="29" applyFont="1" applyFill="1" applyBorder="1" applyAlignment="1" applyProtection="1">
      <alignment horizontal="left" vertical="center" wrapText="1" indent="1"/>
      <protection hidden="1"/>
    </xf>
    <xf numFmtId="0" fontId="3" fillId="6" borderId="1" xfId="2" applyFont="1" applyFill="1" applyBorder="1" applyAlignment="1" applyProtection="1">
      <alignment horizontal="center" vertical="center"/>
      <protection hidden="1"/>
    </xf>
    <xf numFmtId="0" fontId="7" fillId="2" borderId="10" xfId="6" applyFont="1" applyFill="1" applyBorder="1" applyAlignment="1" applyProtection="1">
      <alignment horizontal="left" vertical="center" wrapText="1"/>
      <protection locked="0" hidden="1"/>
    </xf>
    <xf numFmtId="0" fontId="7" fillId="2" borderId="11" xfId="6" applyFont="1" applyFill="1" applyBorder="1" applyAlignment="1" applyProtection="1">
      <alignment horizontal="left" vertical="center" wrapText="1"/>
      <protection locked="0" hidden="1"/>
    </xf>
  </cellXfs>
  <cellStyles count="31">
    <cellStyle name="CellStyle" xfId="11"/>
    <cellStyle name="CellWithBorderStyle" xfId="12"/>
    <cellStyle name="ColumnHeaderBoldFillStyle" xfId="13"/>
    <cellStyle name="ColumnHeaderBoldFillStyleSmall" xfId="14"/>
    <cellStyle name="ColumnHeaderFillStyle" xfId="15"/>
    <cellStyle name="Comma 2" xfId="9"/>
    <cellStyle name="Comma 3" xfId="30"/>
    <cellStyle name="DefaultStyle" xfId="16"/>
    <cellStyle name="Hyperlink" xfId="5" builtinId="8"/>
    <cellStyle name="Normal" xfId="0" builtinId="0"/>
    <cellStyle name="Normal 10" xfId="24"/>
    <cellStyle name="Normal 11" xfId="25"/>
    <cellStyle name="Normal 12" xfId="26"/>
    <cellStyle name="Normal 13" xfId="27"/>
    <cellStyle name="Normal 2" xfId="4"/>
    <cellStyle name="Normal 2 2" xfId="3"/>
    <cellStyle name="Normal 3" xfId="17"/>
    <cellStyle name="Normal 3 3 2" xfId="18"/>
    <cellStyle name="Normal 4" xfId="19"/>
    <cellStyle name="Normal 5" xfId="20"/>
    <cellStyle name="Normal 6" xfId="21"/>
    <cellStyle name="Normal 7" xfId="28"/>
    <cellStyle name="Normal 8" xfId="2"/>
    <cellStyle name="Normal 9" xfId="29"/>
    <cellStyle name="Normal_7. Fidelity Service Request Test Workbook" xfId="10"/>
    <cellStyle name="Normal_Rollforward Fixed Assets 2006 NEW" xfId="7"/>
    <cellStyle name="Normal_SHEET" xfId="22"/>
    <cellStyle name="Normal_SHEET 2" xfId="6"/>
    <cellStyle name="Percent" xfId="1" builtinId="5"/>
    <cellStyle name="PSHeading" xfId="8"/>
    <cellStyle name="WrappedCellStyle" xfId="23"/>
  </cellStyles>
  <dxfs count="95">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ill>
        <patternFill>
          <bgColor rgb="FF66FF66"/>
        </patternFill>
      </fill>
    </dxf>
    <dxf>
      <fill>
        <patternFill>
          <bgColor rgb="FFFF0000"/>
        </patternFill>
      </fill>
    </dxf>
    <dxf>
      <fill>
        <patternFill>
          <bgColor rgb="FFFFFF00"/>
        </patternFill>
      </fill>
    </dxf>
  </dxfs>
  <tableStyles count="0" defaultTableStyle="TableStyleMedium2" defaultPivotStyle="PivotStyleLight16"/>
  <colors>
    <mruColors>
      <color rgb="FF0000FF"/>
      <color rgb="FFFF66CC"/>
      <color rgb="FF00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theme" Target="theme/theme1.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11" Type="http://schemas.microsoft.com/office/2006/relationships/vbaProject" Target="vbaProject.bin"/><Relationship Id="rId5" Type="http://schemas.openxmlformats.org/officeDocument/2006/relationships/sharedStrings" Target="sharedStrings.xml"/><Relationship Id="rId10" Type="http://schemas.openxmlformats.org/officeDocument/2006/relationships/customXml" Target="../customXml/item4.xml"/><Relationship Id="rId4" Type="http://schemas.openxmlformats.org/officeDocument/2006/relationships/styles" Target="styles.xml"/><Relationship Id="rId9"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234316</xdr:colOff>
      <xdr:row>19</xdr:row>
      <xdr:rowOff>38100</xdr:rowOff>
    </xdr:from>
    <xdr:to>
      <xdr:col>0</xdr:col>
      <xdr:colOff>412383</xdr:colOff>
      <xdr:row>19</xdr:row>
      <xdr:rowOff>220980</xdr:rowOff>
    </xdr:to>
    <xdr:pic macro="[0]!Info1Help">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34316" y="4617720"/>
          <a:ext cx="178067" cy="182880"/>
        </a:xfrm>
        <a:prstGeom prst="rect">
          <a:avLst/>
        </a:prstGeom>
        <a:ln>
          <a:solidFill>
            <a:schemeClr val="tx1"/>
          </a:solidFill>
        </a:ln>
      </xdr:spPr>
    </xdr:pic>
    <xdr:clientData fPrintsWithSheet="0"/>
  </xdr:twoCellAnchor>
  <xdr:twoCellAnchor>
    <xdr:from>
      <xdr:col>0</xdr:col>
      <xdr:colOff>234315</xdr:colOff>
      <xdr:row>20</xdr:row>
      <xdr:rowOff>38100</xdr:rowOff>
    </xdr:from>
    <xdr:to>
      <xdr:col>0</xdr:col>
      <xdr:colOff>412382</xdr:colOff>
      <xdr:row>20</xdr:row>
      <xdr:rowOff>220980</xdr:rowOff>
    </xdr:to>
    <xdr:pic macro="[0]!Info2Help">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34315" y="4869180"/>
          <a:ext cx="178067" cy="182880"/>
        </a:xfrm>
        <a:prstGeom prst="rect">
          <a:avLst/>
        </a:prstGeom>
        <a:ln>
          <a:solidFill>
            <a:schemeClr val="tx1"/>
          </a:solidFill>
        </a:ln>
      </xdr:spPr>
    </xdr:pic>
    <xdr:clientData fPrintsWithSheet="0"/>
  </xdr:twoCellAnchor>
  <xdr:twoCellAnchor>
    <xdr:from>
      <xdr:col>2</xdr:col>
      <xdr:colOff>43815</xdr:colOff>
      <xdr:row>75</xdr:row>
      <xdr:rowOff>38100</xdr:rowOff>
    </xdr:from>
    <xdr:to>
      <xdr:col>2</xdr:col>
      <xdr:colOff>226695</xdr:colOff>
      <xdr:row>75</xdr:row>
      <xdr:rowOff>220980</xdr:rowOff>
    </xdr:to>
    <xdr:pic macro="[0]!Info3Help">
      <xdr:nvPicPr>
        <xdr:cNvPr id="8" name="Picture 7">
          <a:extLst>
            <a:ext uri="{FF2B5EF4-FFF2-40B4-BE49-F238E27FC236}">
              <a16:creationId xmlns:a16="http://schemas.microsoft.com/office/drawing/2014/main" id="{00000000-0008-0000-0100-000008000000}"/>
            </a:ext>
          </a:extLst>
        </xdr:cNvPr>
        <xdr:cNvPicPr preferRelativeResize="0">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79195" y="19293840"/>
          <a:ext cx="182880" cy="182880"/>
        </a:xfrm>
        <a:prstGeom prst="rect">
          <a:avLst/>
        </a:prstGeom>
        <a:ln>
          <a:solidFill>
            <a:schemeClr val="tx1"/>
          </a:solidFill>
        </a:ln>
      </xdr:spPr>
    </xdr:pic>
    <xdr:clientData fPrintsWithSheet="0"/>
  </xdr:twoCellAnchor>
  <xdr:twoCellAnchor>
    <xdr:from>
      <xdr:col>2</xdr:col>
      <xdr:colOff>34290</xdr:colOff>
      <xdr:row>76</xdr:row>
      <xdr:rowOff>182880</xdr:rowOff>
    </xdr:from>
    <xdr:to>
      <xdr:col>2</xdr:col>
      <xdr:colOff>217170</xdr:colOff>
      <xdr:row>77</xdr:row>
      <xdr:rowOff>91440</xdr:rowOff>
    </xdr:to>
    <xdr:pic macro="[0]!Info4Help">
      <xdr:nvPicPr>
        <xdr:cNvPr id="9" name="Picture 8">
          <a:extLst>
            <a:ext uri="{FF2B5EF4-FFF2-40B4-BE49-F238E27FC236}">
              <a16:creationId xmlns:a16="http://schemas.microsoft.com/office/drawing/2014/main" id="{00000000-0008-0000-0100-000009000000}"/>
            </a:ext>
          </a:extLst>
        </xdr:cNvPr>
        <xdr:cNvPicPr preferRelativeResize="0">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69670" y="19690080"/>
          <a:ext cx="182880" cy="182880"/>
        </a:xfrm>
        <a:prstGeom prst="rect">
          <a:avLst/>
        </a:prstGeom>
        <a:ln>
          <a:solidFill>
            <a:schemeClr val="tx1"/>
          </a:solidFill>
        </a:ln>
      </xdr:spPr>
    </xdr:pic>
    <xdr:clientData fPrintsWithSheet="0"/>
  </xdr:twoCellAnchor>
  <xdr:twoCellAnchor>
    <xdr:from>
      <xdr:col>0</xdr:col>
      <xdr:colOff>232410</xdr:colOff>
      <xdr:row>248</xdr:row>
      <xdr:rowOff>38100</xdr:rowOff>
    </xdr:from>
    <xdr:to>
      <xdr:col>0</xdr:col>
      <xdr:colOff>410477</xdr:colOff>
      <xdr:row>248</xdr:row>
      <xdr:rowOff>220980</xdr:rowOff>
    </xdr:to>
    <xdr:pic macro="[0]!Info5Help">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32410" y="6256020"/>
          <a:ext cx="178067" cy="182880"/>
        </a:xfrm>
        <a:prstGeom prst="rect">
          <a:avLst/>
        </a:prstGeom>
        <a:ln>
          <a:solidFill>
            <a:schemeClr val="tx1"/>
          </a:solidFill>
        </a:ln>
      </xdr:spPr>
    </xdr:pic>
    <xdr:clientData fPrintsWithSheet="0"/>
  </xdr:twoCellAnchor>
  <xdr:twoCellAnchor>
    <xdr:from>
      <xdr:col>0</xdr:col>
      <xdr:colOff>49530</xdr:colOff>
      <xdr:row>86</xdr:row>
      <xdr:rowOff>38100</xdr:rowOff>
    </xdr:from>
    <xdr:to>
      <xdr:col>0</xdr:col>
      <xdr:colOff>227597</xdr:colOff>
      <xdr:row>86</xdr:row>
      <xdr:rowOff>220980</xdr:rowOff>
    </xdr:to>
    <xdr:pic macro="[0]!Info6Help">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9530" y="23218140"/>
          <a:ext cx="178067" cy="182880"/>
        </a:xfrm>
        <a:prstGeom prst="rect">
          <a:avLst/>
        </a:prstGeom>
        <a:ln>
          <a:solidFill>
            <a:schemeClr val="tx1"/>
          </a:solidFill>
        </a:ln>
      </xdr:spPr>
    </xdr:pic>
    <xdr:clientData fPrintsWithSheet="0"/>
  </xdr:twoCellAnchor>
  <xdr:twoCellAnchor>
    <xdr:from>
      <xdr:col>0</xdr:col>
      <xdr:colOff>32385</xdr:colOff>
      <xdr:row>101</xdr:row>
      <xdr:rowOff>28576</xdr:rowOff>
    </xdr:from>
    <xdr:to>
      <xdr:col>0</xdr:col>
      <xdr:colOff>215265</xdr:colOff>
      <xdr:row>101</xdr:row>
      <xdr:rowOff>211456</xdr:rowOff>
    </xdr:to>
    <xdr:pic macro="[0]!Info7Help">
      <xdr:nvPicPr>
        <xdr:cNvPr id="12" name="Picture 11">
          <a:extLst>
            <a:ext uri="{FF2B5EF4-FFF2-40B4-BE49-F238E27FC236}">
              <a16:creationId xmlns:a16="http://schemas.microsoft.com/office/drawing/2014/main" id="{00000000-0008-0000-0100-00000C000000}"/>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2385" y="27171016"/>
          <a:ext cx="182880" cy="182880"/>
        </a:xfrm>
        <a:prstGeom prst="rect">
          <a:avLst/>
        </a:prstGeom>
        <a:ln>
          <a:solidFill>
            <a:schemeClr val="tx1"/>
          </a:solidFill>
        </a:ln>
      </xdr:spPr>
    </xdr:pic>
    <xdr:clientData fPrintsWithSheet="0"/>
  </xdr:twoCellAnchor>
  <xdr:twoCellAnchor>
    <xdr:from>
      <xdr:col>0</xdr:col>
      <xdr:colOff>222885</xdr:colOff>
      <xdr:row>105</xdr:row>
      <xdr:rowOff>13335</xdr:rowOff>
    </xdr:from>
    <xdr:to>
      <xdr:col>0</xdr:col>
      <xdr:colOff>400952</xdr:colOff>
      <xdr:row>105</xdr:row>
      <xdr:rowOff>196215</xdr:rowOff>
    </xdr:to>
    <xdr:pic macro="[0]!Info8Help">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22885" y="27864435"/>
          <a:ext cx="178067" cy="182880"/>
        </a:xfrm>
        <a:prstGeom prst="rect">
          <a:avLst/>
        </a:prstGeom>
        <a:ln>
          <a:solidFill>
            <a:schemeClr val="tx1"/>
          </a:solidFill>
        </a:ln>
      </xdr:spPr>
    </xdr:pic>
    <xdr:clientData fPrintsWithSheet="0"/>
  </xdr:twoCellAnchor>
  <xdr:twoCellAnchor>
    <xdr:from>
      <xdr:col>2</xdr:col>
      <xdr:colOff>55245</xdr:colOff>
      <xdr:row>184</xdr:row>
      <xdr:rowOff>20955</xdr:rowOff>
    </xdr:from>
    <xdr:to>
      <xdr:col>2</xdr:col>
      <xdr:colOff>233312</xdr:colOff>
      <xdr:row>184</xdr:row>
      <xdr:rowOff>203835</xdr:rowOff>
    </xdr:to>
    <xdr:pic macro="[0]!Info9Help">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90625" y="55090695"/>
          <a:ext cx="178067" cy="182880"/>
        </a:xfrm>
        <a:prstGeom prst="rect">
          <a:avLst/>
        </a:prstGeom>
        <a:ln>
          <a:solidFill>
            <a:schemeClr val="tx1"/>
          </a:solidFill>
        </a:ln>
      </xdr:spPr>
    </xdr:pic>
    <xdr:clientData fPrintsWithSheet="0"/>
  </xdr:twoCellAnchor>
  <xdr:twoCellAnchor>
    <xdr:from>
      <xdr:col>0</xdr:col>
      <xdr:colOff>230505</xdr:colOff>
      <xdr:row>246</xdr:row>
      <xdr:rowOff>19050</xdr:rowOff>
    </xdr:from>
    <xdr:to>
      <xdr:col>0</xdr:col>
      <xdr:colOff>408572</xdr:colOff>
      <xdr:row>246</xdr:row>
      <xdr:rowOff>194310</xdr:rowOff>
    </xdr:to>
    <xdr:pic macro="[0]!Info10Help">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30505" y="68431410"/>
          <a:ext cx="178067" cy="175260"/>
        </a:xfrm>
        <a:prstGeom prst="rect">
          <a:avLst/>
        </a:prstGeom>
        <a:ln>
          <a:solidFill>
            <a:schemeClr val="tx1"/>
          </a:solidFill>
        </a:ln>
      </xdr:spPr>
    </xdr:pic>
    <xdr:clientData fPrintsWithSheet="0"/>
  </xdr:twoCellAnchor>
  <xdr:twoCellAnchor>
    <xdr:from>
      <xdr:col>0</xdr:col>
      <xdr:colOff>40005</xdr:colOff>
      <xdr:row>127</xdr:row>
      <xdr:rowOff>20955</xdr:rowOff>
    </xdr:from>
    <xdr:to>
      <xdr:col>0</xdr:col>
      <xdr:colOff>218072</xdr:colOff>
      <xdr:row>127</xdr:row>
      <xdr:rowOff>203835</xdr:rowOff>
    </xdr:to>
    <xdr:pic macro="[0]!Info14Help">
      <xdr:nvPicPr>
        <xdr:cNvPr id="16" name="Picture 15">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0005" y="32847915"/>
          <a:ext cx="178067" cy="182880"/>
        </a:xfrm>
        <a:prstGeom prst="rect">
          <a:avLst/>
        </a:prstGeom>
        <a:ln>
          <a:solidFill>
            <a:schemeClr val="tx1"/>
          </a:solidFill>
        </a:ln>
      </xdr:spPr>
    </xdr:pic>
    <xdr:clientData fPrintsWithSheet="0"/>
  </xdr:twoCellAnchor>
  <xdr:twoCellAnchor>
    <xdr:from>
      <xdr:col>0</xdr:col>
      <xdr:colOff>32385</xdr:colOff>
      <xdr:row>147</xdr:row>
      <xdr:rowOff>30480</xdr:rowOff>
    </xdr:from>
    <xdr:to>
      <xdr:col>0</xdr:col>
      <xdr:colOff>210452</xdr:colOff>
      <xdr:row>147</xdr:row>
      <xdr:rowOff>213360</xdr:rowOff>
    </xdr:to>
    <xdr:pic macro="[0]!Info15Help">
      <xdr:nvPicPr>
        <xdr:cNvPr id="17" name="Picture 16">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2385" y="42572940"/>
          <a:ext cx="178067" cy="182880"/>
        </a:xfrm>
        <a:prstGeom prst="rect">
          <a:avLst/>
        </a:prstGeom>
        <a:ln>
          <a:solidFill>
            <a:schemeClr val="tx1"/>
          </a:solidFill>
        </a:ln>
      </xdr:spPr>
    </xdr:pic>
    <xdr:clientData fPrintsWithSheet="0"/>
  </xdr:twoCellAnchor>
  <xdr:twoCellAnchor>
    <xdr:from>
      <xdr:col>0</xdr:col>
      <xdr:colOff>219075</xdr:colOff>
      <xdr:row>172</xdr:row>
      <xdr:rowOff>28575</xdr:rowOff>
    </xdr:from>
    <xdr:to>
      <xdr:col>0</xdr:col>
      <xdr:colOff>401955</xdr:colOff>
      <xdr:row>172</xdr:row>
      <xdr:rowOff>211455</xdr:rowOff>
    </xdr:to>
    <xdr:pic macro="[0]!Info16Help">
      <xdr:nvPicPr>
        <xdr:cNvPr id="18" name="Picture 17">
          <a:extLst>
            <a:ext uri="{FF2B5EF4-FFF2-40B4-BE49-F238E27FC236}">
              <a16:creationId xmlns:a16="http://schemas.microsoft.com/office/drawing/2014/main" id="{00000000-0008-0000-0100-000012000000}"/>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19075" y="52118895"/>
          <a:ext cx="182880" cy="182880"/>
        </a:xfrm>
        <a:prstGeom prst="rect">
          <a:avLst/>
        </a:prstGeom>
        <a:ln>
          <a:solidFill>
            <a:schemeClr val="tx1"/>
          </a:solidFill>
        </a:ln>
      </xdr:spPr>
    </xdr:pic>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ranslation"/>
  <dimension ref="A1:M258"/>
  <sheetViews>
    <sheetView topLeftCell="D183" workbookViewId="0">
      <selection activeCell="E186" sqref="E186"/>
    </sheetView>
  </sheetViews>
  <sheetFormatPr defaultRowHeight="14.5" x14ac:dyDescent="0.35"/>
  <cols>
    <col min="1" max="1" width="20.26953125" customWidth="1"/>
    <col min="2" max="2" width="75.7265625" style="107" customWidth="1"/>
    <col min="3" max="12" width="69" customWidth="1"/>
  </cols>
  <sheetData>
    <row r="1" spans="1:13" ht="43.5" x14ac:dyDescent="0.35">
      <c r="A1" s="116" t="s">
        <v>162</v>
      </c>
      <c r="B1" s="116" t="s">
        <v>163</v>
      </c>
      <c r="C1" s="116" t="s">
        <v>164</v>
      </c>
      <c r="D1" s="116" t="s">
        <v>165</v>
      </c>
      <c r="E1" s="116" t="s">
        <v>166</v>
      </c>
      <c r="F1" s="116" t="s">
        <v>167</v>
      </c>
      <c r="G1" s="116" t="s">
        <v>171</v>
      </c>
      <c r="H1" s="116" t="s">
        <v>172</v>
      </c>
      <c r="I1" s="116" t="s">
        <v>173</v>
      </c>
      <c r="J1" s="116" t="s">
        <v>168</v>
      </c>
      <c r="K1" s="116" t="s">
        <v>169</v>
      </c>
      <c r="L1" s="116" t="s">
        <v>170</v>
      </c>
    </row>
    <row r="2" spans="1:13" x14ac:dyDescent="0.35">
      <c r="A2" s="117" t="s">
        <v>192</v>
      </c>
      <c r="B2" t="s">
        <v>118</v>
      </c>
      <c r="C2" t="s">
        <v>118</v>
      </c>
      <c r="D2" t="s">
        <v>118</v>
      </c>
      <c r="E2" t="s">
        <v>1106</v>
      </c>
      <c r="F2" t="s">
        <v>118</v>
      </c>
      <c r="G2" t="s">
        <v>865</v>
      </c>
      <c r="H2" t="s">
        <v>443</v>
      </c>
      <c r="I2" t="s">
        <v>118</v>
      </c>
      <c r="J2" t="s">
        <v>118</v>
      </c>
      <c r="K2" t="s">
        <v>118</v>
      </c>
      <c r="L2" t="s">
        <v>650</v>
      </c>
    </row>
    <row r="3" spans="1:13" ht="58" x14ac:dyDescent="0.35">
      <c r="A3" s="117" t="s">
        <v>193</v>
      </c>
      <c r="B3" s="107" t="s">
        <v>184</v>
      </c>
      <c r="C3" s="107" t="s">
        <v>184</v>
      </c>
      <c r="D3" s="107" t="s">
        <v>184</v>
      </c>
      <c r="E3" s="107" t="s">
        <v>184</v>
      </c>
      <c r="F3" s="107" t="s">
        <v>184</v>
      </c>
      <c r="G3" s="107" t="s">
        <v>184</v>
      </c>
      <c r="H3" s="107" t="s">
        <v>444</v>
      </c>
      <c r="I3" s="107" t="s">
        <v>184</v>
      </c>
      <c r="J3" s="107" t="s">
        <v>184</v>
      </c>
      <c r="K3" s="107" t="s">
        <v>184</v>
      </c>
      <c r="L3" s="107" t="s">
        <v>651</v>
      </c>
      <c r="M3" s="107"/>
    </row>
    <row r="4" spans="1:13" ht="409.5" x14ac:dyDescent="0.35">
      <c r="A4" s="118" t="s">
        <v>194</v>
      </c>
      <c r="B4" s="107" t="s">
        <v>155</v>
      </c>
      <c r="C4" s="107" t="s">
        <v>155</v>
      </c>
      <c r="D4" s="107" t="s">
        <v>155</v>
      </c>
      <c r="E4" s="107" t="s">
        <v>1107</v>
      </c>
      <c r="F4" s="107" t="s">
        <v>155</v>
      </c>
      <c r="G4" s="107" t="s">
        <v>866</v>
      </c>
      <c r="H4" s="107" t="s">
        <v>445</v>
      </c>
      <c r="I4" s="107" t="s">
        <v>155</v>
      </c>
      <c r="J4" s="107" t="s">
        <v>155</v>
      </c>
      <c r="K4" s="107" t="s">
        <v>155</v>
      </c>
      <c r="L4" s="107" t="s">
        <v>652</v>
      </c>
      <c r="M4" s="107"/>
    </row>
    <row r="5" spans="1:13" ht="409.5" x14ac:dyDescent="0.35">
      <c r="A5" s="118" t="s">
        <v>195</v>
      </c>
      <c r="B5" s="107" t="s">
        <v>153</v>
      </c>
      <c r="C5" s="107" t="s">
        <v>153</v>
      </c>
      <c r="D5" s="107" t="s">
        <v>153</v>
      </c>
      <c r="E5" s="107" t="s">
        <v>1108</v>
      </c>
      <c r="F5" s="107" t="s">
        <v>153</v>
      </c>
      <c r="G5" s="107" t="s">
        <v>867</v>
      </c>
      <c r="H5" s="107" t="s">
        <v>446</v>
      </c>
      <c r="I5" s="107" t="s">
        <v>153</v>
      </c>
      <c r="J5" s="107" t="s">
        <v>153</v>
      </c>
      <c r="K5" s="107" t="s">
        <v>153</v>
      </c>
      <c r="L5" s="107" t="s">
        <v>653</v>
      </c>
      <c r="M5" s="107"/>
    </row>
    <row r="6" spans="1:13" ht="232" x14ac:dyDescent="0.35">
      <c r="A6" s="118" t="s">
        <v>199</v>
      </c>
      <c r="B6" s="107" t="s">
        <v>433</v>
      </c>
      <c r="C6" s="107" t="s">
        <v>433</v>
      </c>
      <c r="D6" s="107" t="s">
        <v>433</v>
      </c>
      <c r="E6" s="107" t="s">
        <v>1109</v>
      </c>
      <c r="F6" s="107" t="s">
        <v>433</v>
      </c>
      <c r="G6" s="107" t="s">
        <v>868</v>
      </c>
      <c r="H6" s="107" t="s">
        <v>447</v>
      </c>
      <c r="I6" s="107" t="s">
        <v>433</v>
      </c>
      <c r="J6" s="107" t="s">
        <v>433</v>
      </c>
      <c r="K6" s="107" t="s">
        <v>433</v>
      </c>
      <c r="L6" s="107" t="s">
        <v>654</v>
      </c>
      <c r="M6" s="107"/>
    </row>
    <row r="7" spans="1:13" ht="319" x14ac:dyDescent="0.35">
      <c r="A7" s="118" t="s">
        <v>196</v>
      </c>
      <c r="B7" s="107" t="s">
        <v>431</v>
      </c>
      <c r="C7" s="107" t="s">
        <v>431</v>
      </c>
      <c r="D7" s="107" t="s">
        <v>431</v>
      </c>
      <c r="E7" s="107" t="s">
        <v>1110</v>
      </c>
      <c r="F7" s="107" t="s">
        <v>431</v>
      </c>
      <c r="G7" s="107" t="s">
        <v>869</v>
      </c>
      <c r="H7" s="107" t="s">
        <v>448</v>
      </c>
      <c r="I7" s="107" t="s">
        <v>431</v>
      </c>
      <c r="J7" s="107" t="s">
        <v>431</v>
      </c>
      <c r="K7" s="107" t="s">
        <v>431</v>
      </c>
      <c r="L7" s="107" t="s">
        <v>655</v>
      </c>
      <c r="M7" s="107"/>
    </row>
    <row r="8" spans="1:13" ht="217.5" x14ac:dyDescent="0.35">
      <c r="A8" s="118" t="s">
        <v>197</v>
      </c>
      <c r="B8" s="107" t="s">
        <v>425</v>
      </c>
      <c r="C8" s="107" t="s">
        <v>425</v>
      </c>
      <c r="D8" s="107" t="s">
        <v>425</v>
      </c>
      <c r="E8" s="107" t="s">
        <v>1111</v>
      </c>
      <c r="F8" s="107" t="s">
        <v>425</v>
      </c>
      <c r="G8" s="107" t="s">
        <v>870</v>
      </c>
      <c r="H8" s="107" t="s">
        <v>449</v>
      </c>
      <c r="I8" s="107" t="s">
        <v>425</v>
      </c>
      <c r="J8" s="107" t="s">
        <v>425</v>
      </c>
      <c r="K8" s="107" t="s">
        <v>425</v>
      </c>
      <c r="L8" s="107" t="s">
        <v>656</v>
      </c>
      <c r="M8" s="107"/>
    </row>
    <row r="9" spans="1:13" ht="362.5" x14ac:dyDescent="0.35">
      <c r="A9" s="118" t="s">
        <v>198</v>
      </c>
      <c r="B9" s="107" t="s">
        <v>135</v>
      </c>
      <c r="C9" s="107" t="s">
        <v>135</v>
      </c>
      <c r="D9" s="107" t="s">
        <v>135</v>
      </c>
      <c r="E9" s="107" t="s">
        <v>1112</v>
      </c>
      <c r="F9" s="107" t="s">
        <v>135</v>
      </c>
      <c r="G9" s="107" t="s">
        <v>871</v>
      </c>
      <c r="H9" s="107" t="s">
        <v>450</v>
      </c>
      <c r="I9" s="107" t="s">
        <v>135</v>
      </c>
      <c r="J9" s="107" t="s">
        <v>135</v>
      </c>
      <c r="K9" s="107" t="s">
        <v>135</v>
      </c>
      <c r="L9" s="107" t="s">
        <v>657</v>
      </c>
      <c r="M9" s="107"/>
    </row>
    <row r="10" spans="1:13" ht="217.5" x14ac:dyDescent="0.35">
      <c r="A10" s="118" t="s">
        <v>200</v>
      </c>
      <c r="B10" s="107" t="s">
        <v>151</v>
      </c>
      <c r="C10" s="107" t="s">
        <v>151</v>
      </c>
      <c r="D10" s="107" t="s">
        <v>151</v>
      </c>
      <c r="E10" s="107" t="s">
        <v>1113</v>
      </c>
      <c r="F10" s="107" t="s">
        <v>151</v>
      </c>
      <c r="G10" s="107" t="s">
        <v>872</v>
      </c>
      <c r="H10" s="107" t="s">
        <v>451</v>
      </c>
      <c r="I10" s="107" t="s">
        <v>151</v>
      </c>
      <c r="J10" s="107" t="s">
        <v>151</v>
      </c>
      <c r="K10" s="107" t="s">
        <v>151</v>
      </c>
      <c r="L10" s="107" t="s">
        <v>658</v>
      </c>
      <c r="M10" s="107"/>
    </row>
    <row r="11" spans="1:13" ht="409.5" x14ac:dyDescent="0.35">
      <c r="A11" s="118" t="s">
        <v>201</v>
      </c>
      <c r="B11" s="107" t="s">
        <v>863</v>
      </c>
      <c r="C11" s="107" t="s">
        <v>863</v>
      </c>
      <c r="D11" s="107" t="s">
        <v>863</v>
      </c>
      <c r="E11" s="107" t="s">
        <v>1114</v>
      </c>
      <c r="F11" s="107" t="s">
        <v>863</v>
      </c>
      <c r="G11" s="107" t="s">
        <v>1078</v>
      </c>
      <c r="H11" s="107" t="s">
        <v>1085</v>
      </c>
      <c r="I11" s="107" t="s">
        <v>863</v>
      </c>
      <c r="J11" s="107" t="s">
        <v>863</v>
      </c>
      <c r="K11" s="107" t="s">
        <v>863</v>
      </c>
      <c r="L11" s="107" t="s">
        <v>1079</v>
      </c>
      <c r="M11" s="107"/>
    </row>
    <row r="12" spans="1:13" ht="409.5" x14ac:dyDescent="0.35">
      <c r="A12" s="118" t="s">
        <v>437</v>
      </c>
      <c r="B12" s="107" t="s">
        <v>862</v>
      </c>
      <c r="C12" s="107" t="s">
        <v>862</v>
      </c>
      <c r="D12" s="107" t="s">
        <v>862</v>
      </c>
      <c r="E12" s="107" t="s">
        <v>1115</v>
      </c>
      <c r="F12" s="107" t="s">
        <v>862</v>
      </c>
      <c r="G12" s="107" t="s">
        <v>1076</v>
      </c>
      <c r="H12" s="107" t="s">
        <v>1084</v>
      </c>
      <c r="I12" s="107" t="s">
        <v>862</v>
      </c>
      <c r="J12" s="107" t="s">
        <v>862</v>
      </c>
      <c r="K12" s="107" t="s">
        <v>862</v>
      </c>
      <c r="L12" s="107" t="s">
        <v>1077</v>
      </c>
      <c r="M12" s="107"/>
    </row>
    <row r="13" spans="1:13" ht="409.5" x14ac:dyDescent="0.35">
      <c r="A13" s="118" t="s">
        <v>202</v>
      </c>
      <c r="B13" s="107" t="s">
        <v>157</v>
      </c>
      <c r="C13" s="107" t="s">
        <v>157</v>
      </c>
      <c r="D13" s="107" t="s">
        <v>157</v>
      </c>
      <c r="E13" s="107" t="s">
        <v>1116</v>
      </c>
      <c r="F13" s="107" t="s">
        <v>157</v>
      </c>
      <c r="G13" s="107" t="s">
        <v>873</v>
      </c>
      <c r="H13" s="107" t="s">
        <v>452</v>
      </c>
      <c r="I13" s="107" t="s">
        <v>157</v>
      </c>
      <c r="J13" s="107" t="s">
        <v>157</v>
      </c>
      <c r="K13" s="107" t="s">
        <v>157</v>
      </c>
      <c r="L13" s="107" t="s">
        <v>659</v>
      </c>
      <c r="M13" s="107"/>
    </row>
    <row r="14" spans="1:13" x14ac:dyDescent="0.35">
      <c r="A14" s="118" t="s">
        <v>204</v>
      </c>
      <c r="B14" s="107" t="s">
        <v>73</v>
      </c>
      <c r="C14" s="107" t="s">
        <v>73</v>
      </c>
      <c r="D14" s="107" t="s">
        <v>73</v>
      </c>
      <c r="E14" s="107" t="s">
        <v>1117</v>
      </c>
      <c r="F14" s="107" t="s">
        <v>73</v>
      </c>
      <c r="G14" s="107" t="s">
        <v>874</v>
      </c>
      <c r="H14" s="107" t="s">
        <v>453</v>
      </c>
      <c r="I14" s="107" t="s">
        <v>73</v>
      </c>
      <c r="J14" s="107" t="s">
        <v>73</v>
      </c>
      <c r="K14" s="107" t="s">
        <v>73</v>
      </c>
      <c r="L14" s="107" t="s">
        <v>660</v>
      </c>
      <c r="M14" s="107"/>
    </row>
    <row r="15" spans="1:13" ht="29" x14ac:dyDescent="0.35">
      <c r="A15" s="118" t="s">
        <v>205</v>
      </c>
      <c r="B15" s="107" t="s">
        <v>113</v>
      </c>
      <c r="C15" s="107" t="s">
        <v>113</v>
      </c>
      <c r="D15" s="107" t="s">
        <v>113</v>
      </c>
      <c r="E15" s="107" t="s">
        <v>1118</v>
      </c>
      <c r="F15" s="107" t="s">
        <v>113</v>
      </c>
      <c r="G15" s="107" t="s">
        <v>875</v>
      </c>
      <c r="H15" s="107" t="s">
        <v>454</v>
      </c>
      <c r="I15" s="107" t="s">
        <v>113</v>
      </c>
      <c r="J15" s="107" t="s">
        <v>113</v>
      </c>
      <c r="K15" s="107" t="s">
        <v>113</v>
      </c>
      <c r="L15" s="107" t="s">
        <v>661</v>
      </c>
      <c r="M15" s="107"/>
    </row>
    <row r="16" spans="1:13" x14ac:dyDescent="0.35">
      <c r="A16" s="118" t="s">
        <v>206</v>
      </c>
      <c r="B16" s="107" t="s">
        <v>125</v>
      </c>
      <c r="C16" s="107" t="s">
        <v>125</v>
      </c>
      <c r="D16" s="107" t="s">
        <v>125</v>
      </c>
      <c r="E16" s="107" t="s">
        <v>1119</v>
      </c>
      <c r="F16" s="107" t="s">
        <v>125</v>
      </c>
      <c r="G16" s="107" t="s">
        <v>876</v>
      </c>
      <c r="H16" s="107" t="s">
        <v>455</v>
      </c>
      <c r="I16" s="107" t="s">
        <v>125</v>
      </c>
      <c r="J16" s="107" t="s">
        <v>125</v>
      </c>
      <c r="K16" s="107" t="s">
        <v>125</v>
      </c>
      <c r="L16" s="107" t="s">
        <v>662</v>
      </c>
      <c r="M16" s="107"/>
    </row>
    <row r="17" spans="1:13" x14ac:dyDescent="0.35">
      <c r="A17" s="118" t="s">
        <v>207</v>
      </c>
      <c r="B17" s="107" t="s">
        <v>126</v>
      </c>
      <c r="C17" s="107" t="s">
        <v>126</v>
      </c>
      <c r="D17" s="107" t="s">
        <v>126</v>
      </c>
      <c r="E17" s="107" t="s">
        <v>1119</v>
      </c>
      <c r="F17" s="107" t="s">
        <v>126</v>
      </c>
      <c r="G17" s="107" t="s">
        <v>877</v>
      </c>
      <c r="H17" s="107" t="s">
        <v>455</v>
      </c>
      <c r="I17" s="107" t="s">
        <v>126</v>
      </c>
      <c r="J17" s="107" t="s">
        <v>126</v>
      </c>
      <c r="K17" s="107" t="s">
        <v>126</v>
      </c>
      <c r="L17" s="107" t="s">
        <v>662</v>
      </c>
      <c r="M17" s="107"/>
    </row>
    <row r="18" spans="1:13" x14ac:dyDescent="0.35">
      <c r="A18" s="118" t="s">
        <v>208</v>
      </c>
      <c r="B18" s="107" t="s">
        <v>48</v>
      </c>
      <c r="C18" s="107" t="s">
        <v>48</v>
      </c>
      <c r="D18" s="107" t="s">
        <v>48</v>
      </c>
      <c r="E18" s="107" t="s">
        <v>1120</v>
      </c>
      <c r="F18" s="107" t="s">
        <v>48</v>
      </c>
      <c r="G18" s="107" t="s">
        <v>878</v>
      </c>
      <c r="H18" s="107" t="s">
        <v>456</v>
      </c>
      <c r="I18" s="107" t="s">
        <v>48</v>
      </c>
      <c r="J18" s="107" t="s">
        <v>48</v>
      </c>
      <c r="K18" s="107" t="s">
        <v>48</v>
      </c>
      <c r="L18" s="107" t="s">
        <v>663</v>
      </c>
      <c r="M18" s="107"/>
    </row>
    <row r="19" spans="1:13" x14ac:dyDescent="0.35">
      <c r="A19" s="118" t="s">
        <v>385</v>
      </c>
      <c r="B19" s="107" t="s">
        <v>379</v>
      </c>
      <c r="C19" s="107" t="s">
        <v>379</v>
      </c>
      <c r="D19" s="107" t="s">
        <v>379</v>
      </c>
      <c r="E19" s="107" t="s">
        <v>1121</v>
      </c>
      <c r="F19" s="107" t="s">
        <v>379</v>
      </c>
      <c r="G19" s="107" t="s">
        <v>578</v>
      </c>
      <c r="H19" s="107" t="s">
        <v>457</v>
      </c>
      <c r="I19" s="107" t="s">
        <v>379</v>
      </c>
      <c r="J19" s="107" t="s">
        <v>379</v>
      </c>
      <c r="K19" s="107" t="s">
        <v>379</v>
      </c>
      <c r="L19" s="107" t="s">
        <v>664</v>
      </c>
      <c r="M19" s="107"/>
    </row>
    <row r="20" spans="1:13" x14ac:dyDescent="0.35">
      <c r="A20" s="118" t="s">
        <v>403</v>
      </c>
      <c r="B20" s="107" t="s">
        <v>403</v>
      </c>
      <c r="C20" s="107" t="s">
        <v>403</v>
      </c>
      <c r="D20" s="107" t="s">
        <v>403</v>
      </c>
      <c r="E20" s="107" t="s">
        <v>879</v>
      </c>
      <c r="F20" s="107" t="s">
        <v>403</v>
      </c>
      <c r="G20" s="107" t="s">
        <v>458</v>
      </c>
      <c r="H20" s="107" t="s">
        <v>458</v>
      </c>
      <c r="I20" s="107" t="s">
        <v>403</v>
      </c>
      <c r="J20" s="107" t="s">
        <v>403</v>
      </c>
      <c r="K20" s="107" t="s">
        <v>403</v>
      </c>
      <c r="L20" s="107" t="s">
        <v>665</v>
      </c>
      <c r="M20" s="107"/>
    </row>
    <row r="21" spans="1:13" x14ac:dyDescent="0.35">
      <c r="A21" s="118" t="s">
        <v>209</v>
      </c>
      <c r="B21" s="107" t="s">
        <v>136</v>
      </c>
      <c r="C21" s="107" t="s">
        <v>136</v>
      </c>
      <c r="D21" s="107" t="s">
        <v>136</v>
      </c>
      <c r="E21" s="107" t="s">
        <v>1122</v>
      </c>
      <c r="F21" s="107" t="s">
        <v>136</v>
      </c>
      <c r="G21" s="107" t="s">
        <v>880</v>
      </c>
      <c r="H21" s="107" t="s">
        <v>459</v>
      </c>
      <c r="I21" s="107" t="s">
        <v>136</v>
      </c>
      <c r="J21" s="107" t="s">
        <v>136</v>
      </c>
      <c r="K21" s="107" t="s">
        <v>136</v>
      </c>
      <c r="L21" s="107" t="s">
        <v>666</v>
      </c>
      <c r="M21" s="107"/>
    </row>
    <row r="22" spans="1:13" x14ac:dyDescent="0.35">
      <c r="A22" s="118" t="s">
        <v>210</v>
      </c>
      <c r="B22" s="107" t="s">
        <v>44</v>
      </c>
      <c r="C22" s="107" t="s">
        <v>44</v>
      </c>
      <c r="D22" s="107" t="s">
        <v>44</v>
      </c>
      <c r="E22" s="107" t="s">
        <v>1123</v>
      </c>
      <c r="F22" s="107" t="s">
        <v>44</v>
      </c>
      <c r="G22" s="107" t="s">
        <v>881</v>
      </c>
      <c r="H22" s="107" t="s">
        <v>460</v>
      </c>
      <c r="I22" s="107" t="s">
        <v>44</v>
      </c>
      <c r="J22" s="107" t="s">
        <v>44</v>
      </c>
      <c r="K22" s="107" t="s">
        <v>44</v>
      </c>
      <c r="L22" s="107" t="s">
        <v>667</v>
      </c>
      <c r="M22" s="107"/>
    </row>
    <row r="23" spans="1:13" x14ac:dyDescent="0.35">
      <c r="A23" s="118" t="s">
        <v>211</v>
      </c>
      <c r="B23" s="107" t="s">
        <v>143</v>
      </c>
      <c r="C23" s="107" t="s">
        <v>143</v>
      </c>
      <c r="D23" s="107" t="s">
        <v>143</v>
      </c>
      <c r="E23" s="107" t="s">
        <v>1124</v>
      </c>
      <c r="F23" s="107" t="s">
        <v>143</v>
      </c>
      <c r="G23" s="107" t="s">
        <v>882</v>
      </c>
      <c r="H23" s="107" t="s">
        <v>461</v>
      </c>
      <c r="I23" s="107" t="s">
        <v>143</v>
      </c>
      <c r="J23" s="107" t="s">
        <v>143</v>
      </c>
      <c r="K23" s="107" t="s">
        <v>143</v>
      </c>
      <c r="L23" s="107" t="s">
        <v>668</v>
      </c>
      <c r="M23" s="107"/>
    </row>
    <row r="24" spans="1:13" ht="72.5" x14ac:dyDescent="0.35">
      <c r="A24" s="118" t="s">
        <v>212</v>
      </c>
      <c r="B24" s="107" t="s">
        <v>185</v>
      </c>
      <c r="C24" s="107" t="s">
        <v>185</v>
      </c>
      <c r="D24" s="107" t="s">
        <v>185</v>
      </c>
      <c r="E24" s="107" t="s">
        <v>1125</v>
      </c>
      <c r="F24" s="107" t="s">
        <v>185</v>
      </c>
      <c r="G24" s="107" t="s">
        <v>883</v>
      </c>
      <c r="H24" s="107" t="s">
        <v>462</v>
      </c>
      <c r="I24" s="107" t="s">
        <v>185</v>
      </c>
      <c r="J24" s="107" t="s">
        <v>185</v>
      </c>
      <c r="K24" s="107" t="s">
        <v>185</v>
      </c>
      <c r="L24" s="107" t="s">
        <v>669</v>
      </c>
      <c r="M24" s="107"/>
    </row>
    <row r="25" spans="1:13" x14ac:dyDescent="0.35">
      <c r="A25" s="118" t="s">
        <v>213</v>
      </c>
      <c r="B25" s="107" t="s">
        <v>127</v>
      </c>
      <c r="C25" s="107" t="s">
        <v>127</v>
      </c>
      <c r="D25" s="107" t="s">
        <v>127</v>
      </c>
      <c r="E25" s="107" t="s">
        <v>1126</v>
      </c>
      <c r="F25" s="107" t="s">
        <v>127</v>
      </c>
      <c r="G25" s="107" t="s">
        <v>884</v>
      </c>
      <c r="H25" s="107" t="s">
        <v>463</v>
      </c>
      <c r="I25" s="107" t="s">
        <v>127</v>
      </c>
      <c r="J25" s="107" t="s">
        <v>127</v>
      </c>
      <c r="K25" s="107" t="s">
        <v>127</v>
      </c>
      <c r="L25" s="107" t="s">
        <v>670</v>
      </c>
      <c r="M25" s="107"/>
    </row>
    <row r="26" spans="1:13" x14ac:dyDescent="0.35">
      <c r="A26" s="118" t="s">
        <v>214</v>
      </c>
      <c r="B26" s="107" t="s">
        <v>79</v>
      </c>
      <c r="C26" s="107" t="s">
        <v>79</v>
      </c>
      <c r="D26" s="107" t="s">
        <v>79</v>
      </c>
      <c r="E26" s="107" t="s">
        <v>1127</v>
      </c>
      <c r="F26" s="107" t="s">
        <v>79</v>
      </c>
      <c r="G26" s="107" t="s">
        <v>885</v>
      </c>
      <c r="H26" s="107" t="s">
        <v>464</v>
      </c>
      <c r="I26" s="107" t="s">
        <v>79</v>
      </c>
      <c r="J26" s="107" t="s">
        <v>79</v>
      </c>
      <c r="K26" s="107" t="s">
        <v>79</v>
      </c>
      <c r="L26" s="107" t="s">
        <v>671</v>
      </c>
      <c r="M26" s="107"/>
    </row>
    <row r="27" spans="1:13" x14ac:dyDescent="0.35">
      <c r="A27" s="118" t="s">
        <v>386</v>
      </c>
      <c r="B27" s="107" t="s">
        <v>383</v>
      </c>
      <c r="C27" s="107" t="s">
        <v>383</v>
      </c>
      <c r="D27" s="107" t="s">
        <v>383</v>
      </c>
      <c r="E27" s="107" t="s">
        <v>1074</v>
      </c>
      <c r="F27" s="107" t="s">
        <v>383</v>
      </c>
      <c r="G27" s="107" t="s">
        <v>886</v>
      </c>
      <c r="H27" s="107" t="s">
        <v>465</v>
      </c>
      <c r="I27" s="107" t="s">
        <v>383</v>
      </c>
      <c r="J27" s="107" t="s">
        <v>383</v>
      </c>
      <c r="K27" s="107" t="s">
        <v>383</v>
      </c>
      <c r="L27" s="107" t="s">
        <v>672</v>
      </c>
      <c r="M27" s="107"/>
    </row>
    <row r="28" spans="1:13" x14ac:dyDescent="0.35">
      <c r="A28" s="118" t="s">
        <v>215</v>
      </c>
      <c r="B28" s="107" t="s">
        <v>100</v>
      </c>
      <c r="C28" s="107" t="s">
        <v>100</v>
      </c>
      <c r="D28" s="107" t="s">
        <v>100</v>
      </c>
      <c r="E28" s="107" t="s">
        <v>1128</v>
      </c>
      <c r="F28" s="107" t="s">
        <v>100</v>
      </c>
      <c r="G28" s="107" t="s">
        <v>887</v>
      </c>
      <c r="H28" s="107" t="s">
        <v>466</v>
      </c>
      <c r="I28" s="107" t="s">
        <v>100</v>
      </c>
      <c r="J28" s="107" t="s">
        <v>100</v>
      </c>
      <c r="K28" s="107" t="s">
        <v>100</v>
      </c>
      <c r="L28" s="107" t="s">
        <v>673</v>
      </c>
      <c r="M28" s="107"/>
    </row>
    <row r="29" spans="1:13" ht="29" x14ac:dyDescent="0.35">
      <c r="A29" s="118" t="s">
        <v>242</v>
      </c>
      <c r="B29" s="107" t="s">
        <v>434</v>
      </c>
      <c r="C29" s="107" t="s">
        <v>434</v>
      </c>
      <c r="D29" s="107" t="s">
        <v>434</v>
      </c>
      <c r="E29" s="107" t="s">
        <v>1129</v>
      </c>
      <c r="F29" s="107" t="s">
        <v>434</v>
      </c>
      <c r="G29" s="107" t="s">
        <v>888</v>
      </c>
      <c r="H29" s="107" t="s">
        <v>467</v>
      </c>
      <c r="I29" s="107" t="s">
        <v>434</v>
      </c>
      <c r="J29" s="107" t="s">
        <v>434</v>
      </c>
      <c r="K29" s="107" t="s">
        <v>434</v>
      </c>
      <c r="L29" s="107" t="s">
        <v>674</v>
      </c>
      <c r="M29" s="107"/>
    </row>
    <row r="30" spans="1:13" ht="29" x14ac:dyDescent="0.35">
      <c r="A30" s="118" t="s">
        <v>203</v>
      </c>
      <c r="B30" s="107" t="s">
        <v>432</v>
      </c>
      <c r="C30" s="107" t="s">
        <v>432</v>
      </c>
      <c r="D30" s="107" t="s">
        <v>432</v>
      </c>
      <c r="E30" s="107" t="s">
        <v>1130</v>
      </c>
      <c r="F30" s="107" t="s">
        <v>432</v>
      </c>
      <c r="G30" s="107" t="s">
        <v>889</v>
      </c>
      <c r="H30" s="107" t="s">
        <v>468</v>
      </c>
      <c r="I30" s="107" t="s">
        <v>432</v>
      </c>
      <c r="J30" s="107" t="s">
        <v>432</v>
      </c>
      <c r="K30" s="107" t="s">
        <v>432</v>
      </c>
      <c r="L30" s="107" t="s">
        <v>675</v>
      </c>
      <c r="M30" s="107"/>
    </row>
    <row r="31" spans="1:13" x14ac:dyDescent="0.35">
      <c r="A31" s="118" t="s">
        <v>85</v>
      </c>
      <c r="B31" s="107" t="s">
        <v>85</v>
      </c>
      <c r="C31" s="107" t="s">
        <v>85</v>
      </c>
      <c r="D31" s="107" t="s">
        <v>85</v>
      </c>
      <c r="E31" s="107" t="s">
        <v>890</v>
      </c>
      <c r="F31" s="107" t="s">
        <v>85</v>
      </c>
      <c r="G31" s="107" t="s">
        <v>890</v>
      </c>
      <c r="H31" s="107" t="s">
        <v>469</v>
      </c>
      <c r="I31" s="107" t="s">
        <v>85</v>
      </c>
      <c r="J31" s="107" t="s">
        <v>85</v>
      </c>
      <c r="K31" s="107" t="s">
        <v>85</v>
      </c>
      <c r="L31" s="107" t="s">
        <v>676</v>
      </c>
      <c r="M31" s="107"/>
    </row>
    <row r="32" spans="1:13" ht="72.5" x14ac:dyDescent="0.35">
      <c r="A32" s="118" t="s">
        <v>216</v>
      </c>
      <c r="B32" s="107" t="s">
        <v>149</v>
      </c>
      <c r="C32" s="107" t="s">
        <v>149</v>
      </c>
      <c r="D32" s="107" t="s">
        <v>149</v>
      </c>
      <c r="E32" s="107" t="s">
        <v>1131</v>
      </c>
      <c r="F32" s="107" t="s">
        <v>149</v>
      </c>
      <c r="G32" s="107" t="s">
        <v>891</v>
      </c>
      <c r="H32" s="107" t="s">
        <v>470</v>
      </c>
      <c r="I32" s="107" t="s">
        <v>149</v>
      </c>
      <c r="J32" s="107" t="s">
        <v>149</v>
      </c>
      <c r="K32" s="107" t="s">
        <v>149</v>
      </c>
      <c r="L32" s="107" t="s">
        <v>677</v>
      </c>
      <c r="M32" s="107"/>
    </row>
    <row r="33" spans="1:13" ht="43.5" x14ac:dyDescent="0.35">
      <c r="A33" s="118" t="s">
        <v>217</v>
      </c>
      <c r="B33" s="107" t="s">
        <v>156</v>
      </c>
      <c r="C33" s="107" t="s">
        <v>156</v>
      </c>
      <c r="D33" s="107" t="s">
        <v>156</v>
      </c>
      <c r="E33" s="107" t="s">
        <v>1132</v>
      </c>
      <c r="F33" s="107" t="s">
        <v>156</v>
      </c>
      <c r="G33" s="107" t="s">
        <v>892</v>
      </c>
      <c r="H33" s="107" t="s">
        <v>471</v>
      </c>
      <c r="I33" s="107" t="s">
        <v>156</v>
      </c>
      <c r="J33" s="107" t="s">
        <v>156</v>
      </c>
      <c r="K33" s="107" t="s">
        <v>156</v>
      </c>
      <c r="L33" s="107" t="s">
        <v>678</v>
      </c>
      <c r="M33" s="107"/>
    </row>
    <row r="34" spans="1:13" x14ac:dyDescent="0.35">
      <c r="A34" s="118" t="s">
        <v>39</v>
      </c>
      <c r="B34" s="107" t="s">
        <v>39</v>
      </c>
      <c r="C34" s="107" t="s">
        <v>39</v>
      </c>
      <c r="D34" s="107" t="s">
        <v>39</v>
      </c>
      <c r="E34" s="107" t="s">
        <v>1133</v>
      </c>
      <c r="F34" s="107" t="s">
        <v>39</v>
      </c>
      <c r="G34" s="107" t="s">
        <v>893</v>
      </c>
      <c r="H34" s="107" t="s">
        <v>472</v>
      </c>
      <c r="I34" s="107" t="s">
        <v>39</v>
      </c>
      <c r="J34" s="107" t="s">
        <v>39</v>
      </c>
      <c r="K34" s="107" t="s">
        <v>39</v>
      </c>
      <c r="L34" s="107" t="s">
        <v>679</v>
      </c>
      <c r="M34" s="107"/>
    </row>
    <row r="35" spans="1:13" x14ac:dyDescent="0.35">
      <c r="A35" s="118" t="s">
        <v>218</v>
      </c>
      <c r="B35" s="107" t="s">
        <v>137</v>
      </c>
      <c r="C35" s="107" t="s">
        <v>137</v>
      </c>
      <c r="D35" s="107" t="s">
        <v>137</v>
      </c>
      <c r="E35" s="107" t="s">
        <v>1134</v>
      </c>
      <c r="F35" s="107" t="s">
        <v>137</v>
      </c>
      <c r="G35" s="107" t="s">
        <v>473</v>
      </c>
      <c r="H35" s="107" t="s">
        <v>473</v>
      </c>
      <c r="I35" s="107" t="s">
        <v>137</v>
      </c>
      <c r="J35" s="107" t="s">
        <v>137</v>
      </c>
      <c r="K35" s="107" t="s">
        <v>137</v>
      </c>
      <c r="L35" s="107" t="s">
        <v>680</v>
      </c>
      <c r="M35" s="107"/>
    </row>
    <row r="36" spans="1:13" x14ac:dyDescent="0.35">
      <c r="A36" s="118" t="s">
        <v>219</v>
      </c>
      <c r="B36" s="107" t="s">
        <v>66</v>
      </c>
      <c r="C36" s="107" t="s">
        <v>66</v>
      </c>
      <c r="D36" s="107" t="s">
        <v>66</v>
      </c>
      <c r="E36" s="107" t="s">
        <v>894</v>
      </c>
      <c r="F36" s="107" t="s">
        <v>66</v>
      </c>
      <c r="G36" s="107" t="s">
        <v>895</v>
      </c>
      <c r="H36" s="107" t="s">
        <v>474</v>
      </c>
      <c r="I36" s="107" t="s">
        <v>66</v>
      </c>
      <c r="J36" s="107" t="s">
        <v>66</v>
      </c>
      <c r="K36" s="107" t="s">
        <v>66</v>
      </c>
      <c r="L36" s="107" t="s">
        <v>681</v>
      </c>
      <c r="M36" s="107"/>
    </row>
    <row r="37" spans="1:13" x14ac:dyDescent="0.35">
      <c r="A37" s="118" t="s">
        <v>220</v>
      </c>
      <c r="B37" s="107" t="s">
        <v>1</v>
      </c>
      <c r="C37" s="107" t="s">
        <v>1</v>
      </c>
      <c r="D37" s="107" t="s">
        <v>1</v>
      </c>
      <c r="E37" s="107" t="s">
        <v>1135</v>
      </c>
      <c r="F37" s="107" t="s">
        <v>1</v>
      </c>
      <c r="G37" s="107" t="s">
        <v>896</v>
      </c>
      <c r="H37" s="107" t="s">
        <v>475</v>
      </c>
      <c r="I37" s="107" t="s">
        <v>1</v>
      </c>
      <c r="J37" s="107" t="s">
        <v>1</v>
      </c>
      <c r="K37" s="107" t="s">
        <v>1</v>
      </c>
      <c r="L37" s="107" t="s">
        <v>682</v>
      </c>
      <c r="M37" s="107"/>
    </row>
    <row r="38" spans="1:13" x14ac:dyDescent="0.35">
      <c r="A38" s="118" t="s">
        <v>221</v>
      </c>
      <c r="B38" s="107" t="s">
        <v>142</v>
      </c>
      <c r="C38" s="107" t="s">
        <v>142</v>
      </c>
      <c r="D38" s="107" t="s">
        <v>142</v>
      </c>
      <c r="E38" s="107" t="s">
        <v>1136</v>
      </c>
      <c r="F38" s="107" t="s">
        <v>142</v>
      </c>
      <c r="G38" s="107" t="s">
        <v>897</v>
      </c>
      <c r="H38" s="107" t="s">
        <v>476</v>
      </c>
      <c r="I38" s="107" t="s">
        <v>142</v>
      </c>
      <c r="J38" s="107" t="s">
        <v>142</v>
      </c>
      <c r="K38" s="107" t="s">
        <v>142</v>
      </c>
      <c r="L38" s="107" t="s">
        <v>683</v>
      </c>
      <c r="M38" s="107"/>
    </row>
    <row r="39" spans="1:13" x14ac:dyDescent="0.35">
      <c r="A39" s="118" t="s">
        <v>399</v>
      </c>
      <c r="B39" s="107" t="s">
        <v>399</v>
      </c>
      <c r="C39" s="107" t="s">
        <v>399</v>
      </c>
      <c r="D39" s="107" t="s">
        <v>399</v>
      </c>
      <c r="E39" s="107" t="s">
        <v>898</v>
      </c>
      <c r="F39" s="107" t="s">
        <v>399</v>
      </c>
      <c r="G39" s="107" t="s">
        <v>644</v>
      </c>
      <c r="H39" s="107" t="s">
        <v>644</v>
      </c>
      <c r="I39" s="107" t="s">
        <v>399</v>
      </c>
      <c r="J39" s="107" t="s">
        <v>399</v>
      </c>
      <c r="K39" s="107" t="s">
        <v>399</v>
      </c>
      <c r="L39" s="107" t="s">
        <v>684</v>
      </c>
      <c r="M39" s="107"/>
    </row>
    <row r="40" spans="1:13" x14ac:dyDescent="0.35">
      <c r="A40" s="118" t="s">
        <v>222</v>
      </c>
      <c r="B40" s="107" t="s">
        <v>26</v>
      </c>
      <c r="C40" s="107" t="s">
        <v>26</v>
      </c>
      <c r="D40" s="107" t="s">
        <v>26</v>
      </c>
      <c r="E40" s="107" t="s">
        <v>1137</v>
      </c>
      <c r="F40" s="107" t="s">
        <v>26</v>
      </c>
      <c r="G40" s="107" t="s">
        <v>899</v>
      </c>
      <c r="H40" s="107" t="s">
        <v>477</v>
      </c>
      <c r="I40" s="107" t="s">
        <v>26</v>
      </c>
      <c r="J40" s="107" t="s">
        <v>26</v>
      </c>
      <c r="K40" s="107" t="s">
        <v>26</v>
      </c>
      <c r="L40" s="107" t="s">
        <v>685</v>
      </c>
      <c r="M40" s="107"/>
    </row>
    <row r="41" spans="1:13" x14ac:dyDescent="0.35">
      <c r="A41" s="118" t="s">
        <v>223</v>
      </c>
      <c r="B41" s="107" t="s">
        <v>13</v>
      </c>
      <c r="C41" s="107" t="s">
        <v>13</v>
      </c>
      <c r="D41" s="107" t="s">
        <v>13</v>
      </c>
      <c r="E41" s="107" t="s">
        <v>1138</v>
      </c>
      <c r="F41" s="107" t="s">
        <v>13</v>
      </c>
      <c r="G41" s="107" t="s">
        <v>900</v>
      </c>
      <c r="H41" s="107" t="s">
        <v>478</v>
      </c>
      <c r="I41" s="107" t="s">
        <v>13</v>
      </c>
      <c r="J41" s="107" t="s">
        <v>13</v>
      </c>
      <c r="K41" s="107" t="s">
        <v>13</v>
      </c>
      <c r="L41" s="107" t="s">
        <v>686</v>
      </c>
      <c r="M41" s="107"/>
    </row>
    <row r="42" spans="1:13" ht="29" x14ac:dyDescent="0.35">
      <c r="A42" s="118" t="s">
        <v>225</v>
      </c>
      <c r="B42" s="107" t="s">
        <v>131</v>
      </c>
      <c r="C42" s="107" t="s">
        <v>131</v>
      </c>
      <c r="D42" s="107" t="s">
        <v>131</v>
      </c>
      <c r="E42" s="107" t="s">
        <v>1139</v>
      </c>
      <c r="F42" s="107" t="s">
        <v>131</v>
      </c>
      <c r="G42" s="107" t="s">
        <v>901</v>
      </c>
      <c r="H42" s="107" t="s">
        <v>479</v>
      </c>
      <c r="I42" s="107" t="s">
        <v>131</v>
      </c>
      <c r="J42" s="107" t="s">
        <v>131</v>
      </c>
      <c r="K42" s="107" t="s">
        <v>131</v>
      </c>
      <c r="L42" s="107" t="s">
        <v>687</v>
      </c>
      <c r="M42" s="107"/>
    </row>
    <row r="43" spans="1:13" ht="43.5" x14ac:dyDescent="0.35">
      <c r="A43" s="118" t="s">
        <v>226</v>
      </c>
      <c r="B43" s="107" t="s">
        <v>115</v>
      </c>
      <c r="C43" s="107" t="s">
        <v>115</v>
      </c>
      <c r="D43" s="107" t="s">
        <v>115</v>
      </c>
      <c r="E43" s="107" t="s">
        <v>1140</v>
      </c>
      <c r="F43" s="107" t="s">
        <v>115</v>
      </c>
      <c r="G43" s="107" t="s">
        <v>902</v>
      </c>
      <c r="H43" s="107" t="s">
        <v>480</v>
      </c>
      <c r="I43" s="107" t="s">
        <v>115</v>
      </c>
      <c r="J43" s="107" t="s">
        <v>115</v>
      </c>
      <c r="K43" s="107" t="s">
        <v>115</v>
      </c>
      <c r="L43" s="107" t="s">
        <v>688</v>
      </c>
      <c r="M43" s="107"/>
    </row>
    <row r="44" spans="1:13" ht="72.5" x14ac:dyDescent="0.35">
      <c r="A44" s="118" t="s">
        <v>231</v>
      </c>
      <c r="B44" s="107" t="s">
        <v>439</v>
      </c>
      <c r="C44" s="107" t="s">
        <v>439</v>
      </c>
      <c r="D44" s="107" t="s">
        <v>439</v>
      </c>
      <c r="E44" s="107" t="s">
        <v>1141</v>
      </c>
      <c r="F44" s="107" t="s">
        <v>439</v>
      </c>
      <c r="G44" s="107" t="s">
        <v>906</v>
      </c>
      <c r="H44" s="107" t="s">
        <v>484</v>
      </c>
      <c r="I44" s="107" t="s">
        <v>439</v>
      </c>
      <c r="J44" s="107" t="s">
        <v>439</v>
      </c>
      <c r="K44" s="107" t="s">
        <v>439</v>
      </c>
      <c r="L44" s="107" t="s">
        <v>692</v>
      </c>
      <c r="M44" s="107"/>
    </row>
    <row r="45" spans="1:13" ht="43.5" x14ac:dyDescent="0.35">
      <c r="A45" s="118" t="s">
        <v>227</v>
      </c>
      <c r="B45" s="107" t="s">
        <v>114</v>
      </c>
      <c r="C45" s="107" t="s">
        <v>114</v>
      </c>
      <c r="D45" s="107" t="s">
        <v>114</v>
      </c>
      <c r="E45" s="107" t="s">
        <v>1142</v>
      </c>
      <c r="F45" s="107" t="s">
        <v>114</v>
      </c>
      <c r="G45" s="107" t="s">
        <v>903</v>
      </c>
      <c r="H45" s="107" t="s">
        <v>481</v>
      </c>
      <c r="I45" s="107" t="s">
        <v>114</v>
      </c>
      <c r="J45" s="107" t="s">
        <v>114</v>
      </c>
      <c r="K45" s="107" t="s">
        <v>114</v>
      </c>
      <c r="L45" s="107" t="s">
        <v>689</v>
      </c>
      <c r="M45" s="107"/>
    </row>
    <row r="46" spans="1:13" ht="43.5" x14ac:dyDescent="0.35">
      <c r="A46" s="118" t="s">
        <v>228</v>
      </c>
      <c r="B46" s="107" t="s">
        <v>46</v>
      </c>
      <c r="C46" s="107" t="s">
        <v>46</v>
      </c>
      <c r="D46" s="107" t="s">
        <v>46</v>
      </c>
      <c r="E46" s="107" t="s">
        <v>1143</v>
      </c>
      <c r="F46" s="107" t="s">
        <v>46</v>
      </c>
      <c r="G46" s="107" t="s">
        <v>904</v>
      </c>
      <c r="H46" s="107" t="s">
        <v>482</v>
      </c>
      <c r="I46" s="107" t="s">
        <v>46</v>
      </c>
      <c r="J46" s="107" t="s">
        <v>46</v>
      </c>
      <c r="K46" s="107" t="s">
        <v>46</v>
      </c>
      <c r="L46" s="107" t="s">
        <v>690</v>
      </c>
      <c r="M46" s="107"/>
    </row>
    <row r="47" spans="1:13" ht="29" x14ac:dyDescent="0.35">
      <c r="A47" s="118" t="s">
        <v>229</v>
      </c>
      <c r="B47" s="107" t="s">
        <v>132</v>
      </c>
      <c r="C47" s="107" t="s">
        <v>132</v>
      </c>
      <c r="D47" s="107" t="s">
        <v>132</v>
      </c>
      <c r="E47" s="107" t="s">
        <v>1144</v>
      </c>
      <c r="F47" s="107" t="s">
        <v>132</v>
      </c>
      <c r="G47" s="107" t="s">
        <v>905</v>
      </c>
      <c r="H47" s="107" t="s">
        <v>483</v>
      </c>
      <c r="I47" s="107" t="s">
        <v>132</v>
      </c>
      <c r="J47" s="107" t="s">
        <v>132</v>
      </c>
      <c r="K47" s="107" t="s">
        <v>132</v>
      </c>
      <c r="L47" s="107" t="s">
        <v>691</v>
      </c>
      <c r="M47" s="107"/>
    </row>
    <row r="48" spans="1:13" ht="58" x14ac:dyDescent="0.35">
      <c r="A48" s="118" t="s">
        <v>230</v>
      </c>
      <c r="B48" s="107" t="s">
        <v>426</v>
      </c>
      <c r="C48" s="107" t="s">
        <v>426</v>
      </c>
      <c r="D48" s="107" t="s">
        <v>426</v>
      </c>
      <c r="E48" s="107" t="s">
        <v>1145</v>
      </c>
      <c r="F48" s="107" t="s">
        <v>426</v>
      </c>
      <c r="G48" s="107" t="s">
        <v>907</v>
      </c>
      <c r="H48" s="107" t="s">
        <v>485</v>
      </c>
      <c r="I48" s="107" t="s">
        <v>426</v>
      </c>
      <c r="J48" s="107" t="s">
        <v>426</v>
      </c>
      <c r="K48" s="107" t="s">
        <v>426</v>
      </c>
      <c r="L48" s="107" t="s">
        <v>693</v>
      </c>
      <c r="M48" s="107"/>
    </row>
    <row r="49" spans="1:13" ht="29" x14ac:dyDescent="0.35">
      <c r="A49" s="118" t="s">
        <v>232</v>
      </c>
      <c r="B49" s="107" t="s">
        <v>32</v>
      </c>
      <c r="C49" s="107" t="s">
        <v>32</v>
      </c>
      <c r="D49" s="107" t="s">
        <v>32</v>
      </c>
      <c r="E49" s="107" t="s">
        <v>1146</v>
      </c>
      <c r="F49" s="107" t="s">
        <v>32</v>
      </c>
      <c r="G49" s="107" t="s">
        <v>908</v>
      </c>
      <c r="H49" s="107" t="s">
        <v>486</v>
      </c>
      <c r="I49" s="107" t="s">
        <v>32</v>
      </c>
      <c r="J49" s="107" t="s">
        <v>32</v>
      </c>
      <c r="K49" s="107" t="s">
        <v>32</v>
      </c>
      <c r="L49" s="107" t="s">
        <v>694</v>
      </c>
      <c r="M49" s="107"/>
    </row>
    <row r="50" spans="1:13" ht="43.5" x14ac:dyDescent="0.35">
      <c r="A50" s="118" t="s">
        <v>234</v>
      </c>
      <c r="B50" s="107" t="s">
        <v>436</v>
      </c>
      <c r="C50" s="107" t="s">
        <v>436</v>
      </c>
      <c r="D50" s="107" t="s">
        <v>436</v>
      </c>
      <c r="E50" s="107" t="s">
        <v>1147</v>
      </c>
      <c r="F50" s="107" t="s">
        <v>436</v>
      </c>
      <c r="G50" s="107" t="s">
        <v>909</v>
      </c>
      <c r="H50" s="107" t="s">
        <v>487</v>
      </c>
      <c r="I50" s="107" t="s">
        <v>436</v>
      </c>
      <c r="J50" s="107" t="s">
        <v>436</v>
      </c>
      <c r="K50" s="107" t="s">
        <v>436</v>
      </c>
      <c r="L50" s="107" t="s">
        <v>695</v>
      </c>
      <c r="M50" s="107"/>
    </row>
    <row r="51" spans="1:13" ht="72.5" x14ac:dyDescent="0.35">
      <c r="A51" s="118" t="s">
        <v>233</v>
      </c>
      <c r="B51" s="107" t="s">
        <v>429</v>
      </c>
      <c r="C51" s="107" t="s">
        <v>429</v>
      </c>
      <c r="D51" s="107" t="s">
        <v>429</v>
      </c>
      <c r="E51" s="107" t="s">
        <v>1148</v>
      </c>
      <c r="F51" s="107" t="s">
        <v>429</v>
      </c>
      <c r="G51" s="107" t="s">
        <v>910</v>
      </c>
      <c r="H51" s="107" t="s">
        <v>488</v>
      </c>
      <c r="I51" s="107" t="s">
        <v>429</v>
      </c>
      <c r="J51" s="107" t="s">
        <v>429</v>
      </c>
      <c r="K51" s="107" t="s">
        <v>429</v>
      </c>
      <c r="L51" s="107" t="s">
        <v>696</v>
      </c>
      <c r="M51" s="107"/>
    </row>
    <row r="52" spans="1:13" ht="43.5" x14ac:dyDescent="0.35">
      <c r="A52" s="118" t="s">
        <v>235</v>
      </c>
      <c r="B52" s="107" t="s">
        <v>435</v>
      </c>
      <c r="C52" s="107" t="s">
        <v>435</v>
      </c>
      <c r="D52" s="107" t="s">
        <v>435</v>
      </c>
      <c r="E52" s="107" t="s">
        <v>1149</v>
      </c>
      <c r="F52" s="107" t="s">
        <v>435</v>
      </c>
      <c r="G52" s="107" t="s">
        <v>911</v>
      </c>
      <c r="H52" s="107" t="s">
        <v>489</v>
      </c>
      <c r="I52" s="107" t="s">
        <v>435</v>
      </c>
      <c r="J52" s="107" t="s">
        <v>435</v>
      </c>
      <c r="K52" s="107" t="s">
        <v>435</v>
      </c>
      <c r="L52" s="107" t="s">
        <v>697</v>
      </c>
      <c r="M52" s="107"/>
    </row>
    <row r="53" spans="1:13" ht="58" x14ac:dyDescent="0.35">
      <c r="A53" s="118" t="s">
        <v>236</v>
      </c>
      <c r="B53" s="107" t="s">
        <v>130</v>
      </c>
      <c r="C53" s="107" t="s">
        <v>130</v>
      </c>
      <c r="D53" s="107" t="s">
        <v>130</v>
      </c>
      <c r="E53" s="107" t="s">
        <v>1150</v>
      </c>
      <c r="F53" s="107" t="s">
        <v>130</v>
      </c>
      <c r="G53" s="107" t="s">
        <v>912</v>
      </c>
      <c r="H53" s="107" t="s">
        <v>490</v>
      </c>
      <c r="I53" s="107" t="s">
        <v>130</v>
      </c>
      <c r="J53" s="107" t="s">
        <v>130</v>
      </c>
      <c r="K53" s="107" t="s">
        <v>130</v>
      </c>
      <c r="L53" s="107" t="s">
        <v>698</v>
      </c>
      <c r="M53" s="107"/>
    </row>
    <row r="54" spans="1:13" x14ac:dyDescent="0.35">
      <c r="A54" s="118" t="s">
        <v>47</v>
      </c>
      <c r="B54" s="107" t="s">
        <v>47</v>
      </c>
      <c r="C54" s="107" t="s">
        <v>47</v>
      </c>
      <c r="D54" s="107" t="s">
        <v>47</v>
      </c>
      <c r="E54" s="107" t="s">
        <v>1151</v>
      </c>
      <c r="F54" s="107" t="s">
        <v>47</v>
      </c>
      <c r="G54" s="107" t="s">
        <v>913</v>
      </c>
      <c r="H54" s="107" t="s">
        <v>491</v>
      </c>
      <c r="I54" s="107" t="s">
        <v>47</v>
      </c>
      <c r="J54" s="107" t="s">
        <v>47</v>
      </c>
      <c r="K54" s="107" t="s">
        <v>47</v>
      </c>
      <c r="L54" s="107" t="s">
        <v>699</v>
      </c>
      <c r="M54" s="107"/>
    </row>
    <row r="55" spans="1:13" x14ac:dyDescent="0.35">
      <c r="A55" s="118" t="s">
        <v>237</v>
      </c>
      <c r="B55" s="107" t="s">
        <v>81</v>
      </c>
      <c r="C55" s="107" t="s">
        <v>81</v>
      </c>
      <c r="D55" s="107" t="s">
        <v>81</v>
      </c>
      <c r="E55" s="107" t="s">
        <v>1152</v>
      </c>
      <c r="F55" s="107" t="s">
        <v>81</v>
      </c>
      <c r="G55" s="107" t="s">
        <v>914</v>
      </c>
      <c r="H55" s="107" t="s">
        <v>492</v>
      </c>
      <c r="I55" s="107" t="s">
        <v>81</v>
      </c>
      <c r="J55" s="107" t="s">
        <v>81</v>
      </c>
      <c r="K55" s="107" t="s">
        <v>81</v>
      </c>
      <c r="L55" s="107" t="s">
        <v>700</v>
      </c>
      <c r="M55" s="107"/>
    </row>
    <row r="56" spans="1:13" ht="43.5" x14ac:dyDescent="0.35">
      <c r="A56" s="118" t="s">
        <v>238</v>
      </c>
      <c r="B56" s="107" t="s">
        <v>108</v>
      </c>
      <c r="C56" s="107" t="s">
        <v>108</v>
      </c>
      <c r="D56" s="107" t="s">
        <v>108</v>
      </c>
      <c r="E56" s="107" t="s">
        <v>1153</v>
      </c>
      <c r="F56" s="107" t="s">
        <v>108</v>
      </c>
      <c r="G56" s="107" t="s">
        <v>915</v>
      </c>
      <c r="H56" s="107" t="s">
        <v>493</v>
      </c>
      <c r="I56" s="107" t="s">
        <v>108</v>
      </c>
      <c r="J56" s="107" t="s">
        <v>108</v>
      </c>
      <c r="K56" s="107" t="s">
        <v>108</v>
      </c>
      <c r="L56" s="107" t="s">
        <v>701</v>
      </c>
      <c r="M56" s="107"/>
    </row>
    <row r="57" spans="1:13" x14ac:dyDescent="0.35">
      <c r="A57" s="118" t="s">
        <v>239</v>
      </c>
      <c r="B57" s="107" t="s">
        <v>75</v>
      </c>
      <c r="C57" s="107" t="s">
        <v>75</v>
      </c>
      <c r="D57" s="107" t="s">
        <v>75</v>
      </c>
      <c r="E57" s="107" t="s">
        <v>1154</v>
      </c>
      <c r="F57" s="107" t="s">
        <v>75</v>
      </c>
      <c r="G57" s="107" t="s">
        <v>916</v>
      </c>
      <c r="H57" s="107" t="s">
        <v>494</v>
      </c>
      <c r="I57" s="107" t="s">
        <v>75</v>
      </c>
      <c r="J57" s="107" t="s">
        <v>75</v>
      </c>
      <c r="K57" s="107" t="s">
        <v>75</v>
      </c>
      <c r="L57" s="107" t="s">
        <v>702</v>
      </c>
      <c r="M57" s="107"/>
    </row>
    <row r="58" spans="1:13" ht="29" x14ac:dyDescent="0.35">
      <c r="A58" s="118" t="s">
        <v>240</v>
      </c>
      <c r="B58" s="107" t="s">
        <v>421</v>
      </c>
      <c r="C58" s="107" t="s">
        <v>421</v>
      </c>
      <c r="D58" s="107" t="s">
        <v>421</v>
      </c>
      <c r="E58" s="107" t="s">
        <v>1155</v>
      </c>
      <c r="F58" s="107" t="s">
        <v>421</v>
      </c>
      <c r="G58" s="107" t="s">
        <v>917</v>
      </c>
      <c r="H58" s="107" t="s">
        <v>495</v>
      </c>
      <c r="I58" s="107" t="s">
        <v>421</v>
      </c>
      <c r="J58" s="107" t="s">
        <v>421</v>
      </c>
      <c r="K58" s="107" t="s">
        <v>421</v>
      </c>
      <c r="L58" s="107" t="s">
        <v>703</v>
      </c>
      <c r="M58" s="107"/>
    </row>
    <row r="59" spans="1:13" ht="29" x14ac:dyDescent="0.35">
      <c r="A59" s="118" t="s">
        <v>241</v>
      </c>
      <c r="B59" s="107" t="s">
        <v>111</v>
      </c>
      <c r="C59" s="107" t="s">
        <v>111</v>
      </c>
      <c r="D59" s="107" t="s">
        <v>111</v>
      </c>
      <c r="E59" s="107" t="s">
        <v>1156</v>
      </c>
      <c r="F59" s="107" t="s">
        <v>111</v>
      </c>
      <c r="G59" s="107" t="s">
        <v>918</v>
      </c>
      <c r="H59" s="107" t="s">
        <v>496</v>
      </c>
      <c r="I59" s="107" t="s">
        <v>111</v>
      </c>
      <c r="J59" s="107" t="s">
        <v>111</v>
      </c>
      <c r="K59" s="107" t="s">
        <v>111</v>
      </c>
      <c r="L59" s="107" t="s">
        <v>704</v>
      </c>
      <c r="M59" s="107"/>
    </row>
    <row r="60" spans="1:13" ht="29" x14ac:dyDescent="0.35">
      <c r="A60" s="118" t="s">
        <v>243</v>
      </c>
      <c r="B60" s="107" t="s">
        <v>105</v>
      </c>
      <c r="C60" s="107" t="s">
        <v>105</v>
      </c>
      <c r="D60" s="107" t="s">
        <v>105</v>
      </c>
      <c r="E60" s="107" t="s">
        <v>1157</v>
      </c>
      <c r="F60" s="107" t="s">
        <v>105</v>
      </c>
      <c r="G60" s="107" t="s">
        <v>919</v>
      </c>
      <c r="H60" s="107" t="s">
        <v>497</v>
      </c>
      <c r="I60" s="107" t="s">
        <v>105</v>
      </c>
      <c r="J60" s="107" t="s">
        <v>105</v>
      </c>
      <c r="K60" s="107" t="s">
        <v>105</v>
      </c>
      <c r="L60" s="107" t="s">
        <v>705</v>
      </c>
      <c r="M60" s="107"/>
    </row>
    <row r="61" spans="1:13" ht="29" x14ac:dyDescent="0.35">
      <c r="A61" s="118" t="s">
        <v>244</v>
      </c>
      <c r="B61" s="107" t="s">
        <v>109</v>
      </c>
      <c r="C61" s="107" t="s">
        <v>109</v>
      </c>
      <c r="D61" s="107" t="s">
        <v>109</v>
      </c>
      <c r="E61" s="107" t="s">
        <v>1158</v>
      </c>
      <c r="F61" s="107" t="s">
        <v>109</v>
      </c>
      <c r="G61" s="107" t="s">
        <v>920</v>
      </c>
      <c r="H61" s="107" t="s">
        <v>498</v>
      </c>
      <c r="I61" s="107" t="s">
        <v>109</v>
      </c>
      <c r="J61" s="107" t="s">
        <v>109</v>
      </c>
      <c r="K61" s="107" t="s">
        <v>109</v>
      </c>
      <c r="L61" s="107" t="s">
        <v>706</v>
      </c>
      <c r="M61" s="107"/>
    </row>
    <row r="62" spans="1:13" x14ac:dyDescent="0.35">
      <c r="A62" s="118" t="s">
        <v>245</v>
      </c>
      <c r="B62" s="107" t="s">
        <v>178</v>
      </c>
      <c r="C62" s="107" t="s">
        <v>178</v>
      </c>
      <c r="D62" s="107" t="s">
        <v>178</v>
      </c>
      <c r="E62" s="107" t="s">
        <v>1159</v>
      </c>
      <c r="F62" s="107" t="s">
        <v>178</v>
      </c>
      <c r="G62" s="107" t="s">
        <v>921</v>
      </c>
      <c r="H62" s="107" t="s">
        <v>499</v>
      </c>
      <c r="I62" s="107" t="s">
        <v>178</v>
      </c>
      <c r="J62" s="107" t="s">
        <v>178</v>
      </c>
      <c r="K62" s="107" t="s">
        <v>178</v>
      </c>
      <c r="L62" s="107" t="s">
        <v>707</v>
      </c>
      <c r="M62" s="107"/>
    </row>
    <row r="63" spans="1:13" x14ac:dyDescent="0.35">
      <c r="A63" s="118" t="s">
        <v>246</v>
      </c>
      <c r="B63" s="107" t="s">
        <v>60</v>
      </c>
      <c r="C63" s="107" t="s">
        <v>60</v>
      </c>
      <c r="D63" s="107" t="s">
        <v>60</v>
      </c>
      <c r="E63" s="107" t="s">
        <v>1160</v>
      </c>
      <c r="F63" s="107" t="s">
        <v>60</v>
      </c>
      <c r="G63" s="107" t="s">
        <v>922</v>
      </c>
      <c r="H63" s="107" t="s">
        <v>500</v>
      </c>
      <c r="I63" s="107" t="s">
        <v>60</v>
      </c>
      <c r="J63" s="107" t="s">
        <v>60</v>
      </c>
      <c r="K63" s="107" t="s">
        <v>60</v>
      </c>
      <c r="L63" s="107" t="s">
        <v>708</v>
      </c>
      <c r="M63" s="107"/>
    </row>
    <row r="64" spans="1:13" ht="43.5" x14ac:dyDescent="0.35">
      <c r="A64" s="118" t="s">
        <v>247</v>
      </c>
      <c r="B64" s="107" t="s">
        <v>110</v>
      </c>
      <c r="C64" s="107" t="s">
        <v>110</v>
      </c>
      <c r="D64" s="107" t="s">
        <v>110</v>
      </c>
      <c r="E64" s="107" t="s">
        <v>1161</v>
      </c>
      <c r="F64" s="107" t="s">
        <v>110</v>
      </c>
      <c r="G64" s="107" t="s">
        <v>923</v>
      </c>
      <c r="H64" s="107" t="s">
        <v>501</v>
      </c>
      <c r="I64" s="107" t="s">
        <v>110</v>
      </c>
      <c r="J64" s="107" t="s">
        <v>110</v>
      </c>
      <c r="K64" s="107" t="s">
        <v>110</v>
      </c>
      <c r="L64" s="107" t="s">
        <v>709</v>
      </c>
      <c r="M64" s="107"/>
    </row>
    <row r="65" spans="1:13" ht="29" x14ac:dyDescent="0.35">
      <c r="A65" s="118" t="s">
        <v>248</v>
      </c>
      <c r="B65" s="107" t="s">
        <v>31</v>
      </c>
      <c r="C65" s="107" t="s">
        <v>31</v>
      </c>
      <c r="D65" s="107" t="s">
        <v>31</v>
      </c>
      <c r="E65" s="107" t="s">
        <v>1162</v>
      </c>
      <c r="F65" s="107" t="s">
        <v>31</v>
      </c>
      <c r="G65" s="107" t="s">
        <v>924</v>
      </c>
      <c r="H65" s="107" t="s">
        <v>502</v>
      </c>
      <c r="I65" s="107" t="s">
        <v>31</v>
      </c>
      <c r="J65" s="107" t="s">
        <v>31</v>
      </c>
      <c r="K65" s="107" t="s">
        <v>31</v>
      </c>
      <c r="L65" s="107" t="s">
        <v>710</v>
      </c>
      <c r="M65" s="107"/>
    </row>
    <row r="66" spans="1:13" ht="43.5" x14ac:dyDescent="0.35">
      <c r="A66" s="118" t="s">
        <v>249</v>
      </c>
      <c r="B66" s="107" t="s">
        <v>440</v>
      </c>
      <c r="C66" s="107" t="s">
        <v>440</v>
      </c>
      <c r="D66" s="107" t="s">
        <v>440</v>
      </c>
      <c r="E66" s="107" t="s">
        <v>1163</v>
      </c>
      <c r="F66" s="107" t="s">
        <v>440</v>
      </c>
      <c r="G66" s="107" t="s">
        <v>925</v>
      </c>
      <c r="H66" s="107" t="s">
        <v>503</v>
      </c>
      <c r="I66" s="107" t="s">
        <v>440</v>
      </c>
      <c r="J66" s="107" t="s">
        <v>440</v>
      </c>
      <c r="K66" s="107" t="s">
        <v>440</v>
      </c>
      <c r="L66" s="107" t="s">
        <v>711</v>
      </c>
      <c r="M66" s="107"/>
    </row>
    <row r="67" spans="1:13" ht="43.5" x14ac:dyDescent="0.35">
      <c r="A67" s="118" t="s">
        <v>441</v>
      </c>
      <c r="B67" s="107" t="s">
        <v>442</v>
      </c>
      <c r="C67" s="107" t="s">
        <v>442</v>
      </c>
      <c r="D67" s="107" t="s">
        <v>442</v>
      </c>
      <c r="E67" s="107" t="s">
        <v>1164</v>
      </c>
      <c r="F67" s="107" t="s">
        <v>442</v>
      </c>
      <c r="G67" s="107" t="s">
        <v>926</v>
      </c>
      <c r="H67" s="107" t="s">
        <v>504</v>
      </c>
      <c r="I67" s="107" t="s">
        <v>442</v>
      </c>
      <c r="J67" s="107" t="s">
        <v>442</v>
      </c>
      <c r="K67" s="107" t="s">
        <v>442</v>
      </c>
      <c r="L67" s="107" t="s">
        <v>712</v>
      </c>
      <c r="M67" s="107"/>
    </row>
    <row r="68" spans="1:13" ht="14" customHeight="1" x14ac:dyDescent="0.35">
      <c r="A68" s="118" t="s">
        <v>250</v>
      </c>
      <c r="B68" s="107" t="s">
        <v>428</v>
      </c>
      <c r="C68" s="107" t="s">
        <v>428</v>
      </c>
      <c r="D68" s="107" t="s">
        <v>428</v>
      </c>
      <c r="E68" s="107" t="s">
        <v>1165</v>
      </c>
      <c r="F68" s="107" t="s">
        <v>428</v>
      </c>
      <c r="G68" s="107" t="s">
        <v>927</v>
      </c>
      <c r="H68" s="107" t="s">
        <v>505</v>
      </c>
      <c r="I68" s="107" t="s">
        <v>428</v>
      </c>
      <c r="J68" s="107" t="s">
        <v>428</v>
      </c>
      <c r="K68" s="107" t="s">
        <v>428</v>
      </c>
      <c r="L68" s="107" t="s">
        <v>713</v>
      </c>
      <c r="M68" s="107"/>
    </row>
    <row r="69" spans="1:13" ht="43.5" x14ac:dyDescent="0.35">
      <c r="A69" s="118" t="s">
        <v>251</v>
      </c>
      <c r="B69" s="107" t="s">
        <v>415</v>
      </c>
      <c r="C69" s="107" t="s">
        <v>415</v>
      </c>
      <c r="D69" s="107" t="s">
        <v>116</v>
      </c>
      <c r="E69" s="107" t="s">
        <v>1166</v>
      </c>
      <c r="F69" s="107" t="s">
        <v>116</v>
      </c>
      <c r="G69" s="107" t="s">
        <v>928</v>
      </c>
      <c r="H69" s="107" t="s">
        <v>506</v>
      </c>
      <c r="I69" s="107" t="s">
        <v>116</v>
      </c>
      <c r="J69" s="107" t="s">
        <v>116</v>
      </c>
      <c r="K69" s="107" t="s">
        <v>116</v>
      </c>
      <c r="L69" s="107" t="s">
        <v>714</v>
      </c>
      <c r="M69" s="107"/>
    </row>
    <row r="70" spans="1:13" ht="29" x14ac:dyDescent="0.35">
      <c r="A70" s="118" t="s">
        <v>252</v>
      </c>
      <c r="B70" s="107" t="s">
        <v>58</v>
      </c>
      <c r="C70" s="107" t="s">
        <v>58</v>
      </c>
      <c r="D70" s="107" t="s">
        <v>58</v>
      </c>
      <c r="E70" s="107" t="s">
        <v>1167</v>
      </c>
      <c r="F70" s="107" t="s">
        <v>58</v>
      </c>
      <c r="G70" s="107" t="s">
        <v>929</v>
      </c>
      <c r="H70" s="107" t="s">
        <v>507</v>
      </c>
      <c r="I70" s="107" t="s">
        <v>58</v>
      </c>
      <c r="J70" s="107" t="s">
        <v>58</v>
      </c>
      <c r="K70" s="107" t="s">
        <v>58</v>
      </c>
      <c r="L70" s="107" t="s">
        <v>715</v>
      </c>
      <c r="M70" s="107"/>
    </row>
    <row r="71" spans="1:13" ht="29" x14ac:dyDescent="0.35">
      <c r="A71" s="118" t="s">
        <v>253</v>
      </c>
      <c r="B71" s="107" t="s">
        <v>59</v>
      </c>
      <c r="C71" s="107" t="s">
        <v>59</v>
      </c>
      <c r="D71" s="107" t="s">
        <v>59</v>
      </c>
      <c r="E71" s="107" t="s">
        <v>1168</v>
      </c>
      <c r="F71" s="107" t="s">
        <v>59</v>
      </c>
      <c r="G71" s="107" t="s">
        <v>930</v>
      </c>
      <c r="H71" s="107" t="s">
        <v>508</v>
      </c>
      <c r="I71" s="107" t="s">
        <v>59</v>
      </c>
      <c r="J71" s="107" t="s">
        <v>59</v>
      </c>
      <c r="K71" s="107" t="s">
        <v>59</v>
      </c>
      <c r="L71" s="107" t="s">
        <v>716</v>
      </c>
      <c r="M71" s="107"/>
    </row>
    <row r="72" spans="1:13" ht="29" x14ac:dyDescent="0.35">
      <c r="A72" s="118" t="s">
        <v>254</v>
      </c>
      <c r="B72" s="107" t="s">
        <v>120</v>
      </c>
      <c r="C72" s="107" t="s">
        <v>120</v>
      </c>
      <c r="D72" s="107" t="s">
        <v>120</v>
      </c>
      <c r="E72" s="107" t="s">
        <v>1169</v>
      </c>
      <c r="F72" s="107" t="s">
        <v>120</v>
      </c>
      <c r="G72" s="107" t="s">
        <v>931</v>
      </c>
      <c r="H72" s="107" t="s">
        <v>509</v>
      </c>
      <c r="I72" s="107" t="s">
        <v>120</v>
      </c>
      <c r="J72" s="107" t="s">
        <v>120</v>
      </c>
      <c r="K72" s="107" t="s">
        <v>120</v>
      </c>
      <c r="L72" s="107" t="s">
        <v>717</v>
      </c>
      <c r="M72" s="107"/>
    </row>
    <row r="73" spans="1:13" ht="15" x14ac:dyDescent="0.35">
      <c r="A73" s="118" t="s">
        <v>255</v>
      </c>
      <c r="B73" s="107" t="s">
        <v>63</v>
      </c>
      <c r="C73" s="107" t="s">
        <v>63</v>
      </c>
      <c r="D73" s="107" t="s">
        <v>63</v>
      </c>
      <c r="E73" t="s">
        <v>932</v>
      </c>
      <c r="F73" s="107" t="s">
        <v>63</v>
      </c>
      <c r="G73" s="131" t="s">
        <v>933</v>
      </c>
      <c r="H73" s="107" t="s">
        <v>510</v>
      </c>
      <c r="I73" s="107" t="s">
        <v>63</v>
      </c>
      <c r="J73" s="107" t="s">
        <v>63</v>
      </c>
      <c r="K73" s="107" t="s">
        <v>63</v>
      </c>
      <c r="L73" s="107" t="s">
        <v>718</v>
      </c>
      <c r="M73" s="107"/>
    </row>
    <row r="74" spans="1:13" ht="43.5" x14ac:dyDescent="0.35">
      <c r="A74" s="118" t="s">
        <v>256</v>
      </c>
      <c r="B74" s="107" t="s">
        <v>424</v>
      </c>
      <c r="C74" s="107" t="s">
        <v>424</v>
      </c>
      <c r="D74" s="107" t="s">
        <v>424</v>
      </c>
      <c r="E74" s="107" t="s">
        <v>1170</v>
      </c>
      <c r="F74" s="107" t="s">
        <v>424</v>
      </c>
      <c r="G74" s="107" t="s">
        <v>934</v>
      </c>
      <c r="H74" s="107" t="s">
        <v>511</v>
      </c>
      <c r="I74" s="107" t="s">
        <v>424</v>
      </c>
      <c r="J74" s="107" t="s">
        <v>424</v>
      </c>
      <c r="K74" s="107" t="s">
        <v>424</v>
      </c>
      <c r="L74" s="107" t="s">
        <v>719</v>
      </c>
      <c r="M74" s="107"/>
    </row>
    <row r="75" spans="1:13" ht="29" x14ac:dyDescent="0.35">
      <c r="A75" s="118" t="s">
        <v>257</v>
      </c>
      <c r="B75" s="107" t="s">
        <v>53</v>
      </c>
      <c r="C75" s="107" t="s">
        <v>53</v>
      </c>
      <c r="D75" s="107" t="s">
        <v>53</v>
      </c>
      <c r="E75" s="107" t="s">
        <v>1171</v>
      </c>
      <c r="F75" s="107" t="s">
        <v>53</v>
      </c>
      <c r="G75" s="107" t="s">
        <v>935</v>
      </c>
      <c r="H75" s="107" t="s">
        <v>512</v>
      </c>
      <c r="I75" s="107" t="s">
        <v>53</v>
      </c>
      <c r="J75" s="107" t="s">
        <v>53</v>
      </c>
      <c r="K75" s="107" t="s">
        <v>53</v>
      </c>
      <c r="L75" s="107" t="s">
        <v>720</v>
      </c>
      <c r="M75" s="107"/>
    </row>
    <row r="76" spans="1:13" ht="29" x14ac:dyDescent="0.35">
      <c r="A76" s="118" t="s">
        <v>258</v>
      </c>
      <c r="B76" s="107" t="s">
        <v>154</v>
      </c>
      <c r="C76" s="107" t="s">
        <v>154</v>
      </c>
      <c r="D76" s="107" t="s">
        <v>154</v>
      </c>
      <c r="E76" s="107" t="s">
        <v>1172</v>
      </c>
      <c r="F76" s="107" t="s">
        <v>154</v>
      </c>
      <c r="G76" s="107" t="s">
        <v>936</v>
      </c>
      <c r="H76" s="107" t="s">
        <v>513</v>
      </c>
      <c r="I76" s="107" t="s">
        <v>154</v>
      </c>
      <c r="J76" s="107" t="s">
        <v>154</v>
      </c>
      <c r="K76" s="107" t="s">
        <v>154</v>
      </c>
      <c r="L76" s="107" t="s">
        <v>721</v>
      </c>
      <c r="M76" s="107"/>
    </row>
    <row r="77" spans="1:13" ht="29" x14ac:dyDescent="0.35">
      <c r="A77" s="118" t="s">
        <v>259</v>
      </c>
      <c r="B77" s="107" t="s">
        <v>92</v>
      </c>
      <c r="C77" s="107" t="s">
        <v>92</v>
      </c>
      <c r="D77" s="107" t="s">
        <v>92</v>
      </c>
      <c r="E77" s="107" t="s">
        <v>1173</v>
      </c>
      <c r="F77" s="107" t="s">
        <v>92</v>
      </c>
      <c r="G77" s="107" t="s">
        <v>937</v>
      </c>
      <c r="H77" s="107" t="s">
        <v>514</v>
      </c>
      <c r="I77" s="107" t="s">
        <v>92</v>
      </c>
      <c r="J77" s="107" t="s">
        <v>92</v>
      </c>
      <c r="K77" s="107" t="s">
        <v>92</v>
      </c>
      <c r="L77" s="107" t="s">
        <v>722</v>
      </c>
      <c r="M77" s="107"/>
    </row>
    <row r="78" spans="1:13" x14ac:dyDescent="0.35">
      <c r="A78" s="118" t="s">
        <v>35</v>
      </c>
      <c r="B78" s="107" t="s">
        <v>35</v>
      </c>
      <c r="C78" s="107" t="s">
        <v>35</v>
      </c>
      <c r="D78" s="107" t="s">
        <v>35</v>
      </c>
      <c r="E78" s="107" t="s">
        <v>1174</v>
      </c>
      <c r="F78" s="107" t="s">
        <v>35</v>
      </c>
      <c r="G78" s="107" t="s">
        <v>938</v>
      </c>
      <c r="H78" s="107" t="s">
        <v>515</v>
      </c>
      <c r="I78" s="107" t="s">
        <v>35</v>
      </c>
      <c r="J78" s="107" t="s">
        <v>35</v>
      </c>
      <c r="K78" s="107" t="s">
        <v>35</v>
      </c>
      <c r="L78" s="107" t="s">
        <v>723</v>
      </c>
      <c r="M78" s="107"/>
    </row>
    <row r="79" spans="1:13" ht="29" x14ac:dyDescent="0.35">
      <c r="A79" s="118" t="s">
        <v>260</v>
      </c>
      <c r="B79" s="107" t="s">
        <v>187</v>
      </c>
      <c r="C79" s="107" t="s">
        <v>187</v>
      </c>
      <c r="D79" s="107" t="s">
        <v>187</v>
      </c>
      <c r="E79" s="107" t="s">
        <v>1175</v>
      </c>
      <c r="F79" s="107" t="s">
        <v>187</v>
      </c>
      <c r="G79" s="107" t="s">
        <v>939</v>
      </c>
      <c r="H79" s="107" t="s">
        <v>516</v>
      </c>
      <c r="I79" s="107" t="s">
        <v>187</v>
      </c>
      <c r="J79" s="107" t="s">
        <v>187</v>
      </c>
      <c r="K79" s="107" t="s">
        <v>187</v>
      </c>
      <c r="L79" s="107" t="s">
        <v>724</v>
      </c>
      <c r="M79" s="107"/>
    </row>
    <row r="80" spans="1:13" ht="58" x14ac:dyDescent="0.35">
      <c r="A80" s="118" t="s">
        <v>261</v>
      </c>
      <c r="B80" s="107" t="s">
        <v>189</v>
      </c>
      <c r="C80" s="107" t="s">
        <v>189</v>
      </c>
      <c r="D80" s="107" t="s">
        <v>189</v>
      </c>
      <c r="E80" s="107" t="s">
        <v>1176</v>
      </c>
      <c r="F80" s="107" t="s">
        <v>189</v>
      </c>
      <c r="G80" s="107" t="s">
        <v>940</v>
      </c>
      <c r="H80" s="107" t="s">
        <v>517</v>
      </c>
      <c r="I80" s="107" t="s">
        <v>189</v>
      </c>
      <c r="J80" s="107" t="s">
        <v>189</v>
      </c>
      <c r="K80" s="107" t="s">
        <v>189</v>
      </c>
      <c r="L80" s="107" t="s">
        <v>725</v>
      </c>
      <c r="M80" s="107"/>
    </row>
    <row r="81" spans="1:13" ht="72.5" x14ac:dyDescent="0.35">
      <c r="A81" s="118" t="s">
        <v>262</v>
      </c>
      <c r="B81" s="107" t="s">
        <v>864</v>
      </c>
      <c r="C81" s="107" t="s">
        <v>864</v>
      </c>
      <c r="D81" s="107" t="s">
        <v>864</v>
      </c>
      <c r="E81" s="107" t="s">
        <v>1177</v>
      </c>
      <c r="F81" s="107" t="s">
        <v>864</v>
      </c>
      <c r="G81" s="107" t="s">
        <v>941</v>
      </c>
      <c r="H81" s="107" t="s">
        <v>518</v>
      </c>
      <c r="I81" s="107" t="s">
        <v>864</v>
      </c>
      <c r="J81" s="107" t="s">
        <v>864</v>
      </c>
      <c r="K81" s="107" t="s">
        <v>864</v>
      </c>
      <c r="L81" s="107" t="s">
        <v>726</v>
      </c>
      <c r="M81" s="107"/>
    </row>
    <row r="82" spans="1:13" x14ac:dyDescent="0.35">
      <c r="A82" s="118" t="s">
        <v>0</v>
      </c>
      <c r="B82" s="107" t="s">
        <v>0</v>
      </c>
      <c r="C82" s="107" t="s">
        <v>0</v>
      </c>
      <c r="D82" s="107" t="s">
        <v>0</v>
      </c>
      <c r="E82" s="107" t="s">
        <v>1178</v>
      </c>
      <c r="F82" s="107" t="s">
        <v>0</v>
      </c>
      <c r="G82" s="107" t="s">
        <v>942</v>
      </c>
      <c r="H82" s="107" t="s">
        <v>519</v>
      </c>
      <c r="I82" s="107" t="s">
        <v>0</v>
      </c>
      <c r="J82" s="107" t="s">
        <v>0</v>
      </c>
      <c r="K82" s="107" t="s">
        <v>0</v>
      </c>
      <c r="L82" s="107" t="s">
        <v>727</v>
      </c>
      <c r="M82" s="107"/>
    </row>
    <row r="83" spans="1:13" x14ac:dyDescent="0.35">
      <c r="A83" s="118" t="s">
        <v>3</v>
      </c>
      <c r="B83" s="107" t="s">
        <v>3</v>
      </c>
      <c r="C83" s="107" t="s">
        <v>3</v>
      </c>
      <c r="D83" s="107" t="s">
        <v>3</v>
      </c>
      <c r="E83" s="107" t="s">
        <v>1179</v>
      </c>
      <c r="F83" s="107" t="s">
        <v>3</v>
      </c>
      <c r="G83" s="107" t="s">
        <v>520</v>
      </c>
      <c r="H83" s="107" t="s">
        <v>520</v>
      </c>
      <c r="I83" s="107" t="s">
        <v>3</v>
      </c>
      <c r="J83" s="107" t="s">
        <v>3</v>
      </c>
      <c r="K83" s="107" t="s">
        <v>3</v>
      </c>
      <c r="L83" s="107" t="s">
        <v>728</v>
      </c>
      <c r="M83" s="107"/>
    </row>
    <row r="84" spans="1:13" ht="43.5" x14ac:dyDescent="0.35">
      <c r="A84" s="118" t="s">
        <v>263</v>
      </c>
      <c r="B84" s="107" t="s">
        <v>93</v>
      </c>
      <c r="C84" s="107" t="s">
        <v>93</v>
      </c>
      <c r="D84" s="107" t="s">
        <v>93</v>
      </c>
      <c r="E84" s="107" t="s">
        <v>1180</v>
      </c>
      <c r="F84" s="107" t="s">
        <v>93</v>
      </c>
      <c r="G84" s="107" t="s">
        <v>943</v>
      </c>
      <c r="H84" s="107" t="s">
        <v>521</v>
      </c>
      <c r="I84" s="107" t="s">
        <v>93</v>
      </c>
      <c r="J84" s="107" t="s">
        <v>93</v>
      </c>
      <c r="K84" s="107" t="s">
        <v>93</v>
      </c>
      <c r="L84" s="107" t="s">
        <v>729</v>
      </c>
      <c r="M84" s="107"/>
    </row>
    <row r="85" spans="1:13" ht="29" x14ac:dyDescent="0.35">
      <c r="A85" s="118" t="s">
        <v>264</v>
      </c>
      <c r="B85" s="107" t="s">
        <v>160</v>
      </c>
      <c r="C85" s="107" t="s">
        <v>160</v>
      </c>
      <c r="D85" s="107" t="s">
        <v>160</v>
      </c>
      <c r="E85" s="107" t="s">
        <v>1181</v>
      </c>
      <c r="F85" s="107" t="s">
        <v>160</v>
      </c>
      <c r="G85" s="107" t="s">
        <v>944</v>
      </c>
      <c r="H85" s="107" t="s">
        <v>522</v>
      </c>
      <c r="I85" s="107" t="s">
        <v>160</v>
      </c>
      <c r="J85" s="107" t="s">
        <v>160</v>
      </c>
      <c r="K85" s="107" t="s">
        <v>160</v>
      </c>
      <c r="L85" s="107" t="s">
        <v>730</v>
      </c>
      <c r="M85" s="107"/>
    </row>
    <row r="86" spans="1:13" ht="29" x14ac:dyDescent="0.35">
      <c r="A86" s="118" t="s">
        <v>265</v>
      </c>
      <c r="B86" s="107" t="s">
        <v>62</v>
      </c>
      <c r="C86" s="107" t="s">
        <v>62</v>
      </c>
      <c r="D86" s="107" t="s">
        <v>62</v>
      </c>
      <c r="E86" s="107" t="s">
        <v>1182</v>
      </c>
      <c r="F86" s="107" t="s">
        <v>62</v>
      </c>
      <c r="G86" s="107" t="s">
        <v>945</v>
      </c>
      <c r="H86" s="107" t="s">
        <v>523</v>
      </c>
      <c r="I86" s="107" t="s">
        <v>62</v>
      </c>
      <c r="J86" s="107" t="s">
        <v>62</v>
      </c>
      <c r="K86" s="107" t="s">
        <v>62</v>
      </c>
      <c r="L86" s="107" t="s">
        <v>731</v>
      </c>
      <c r="M86" s="107"/>
    </row>
    <row r="87" spans="1:13" ht="43.5" x14ac:dyDescent="0.35">
      <c r="A87" s="118" t="s">
        <v>266</v>
      </c>
      <c r="B87" s="107" t="s">
        <v>36</v>
      </c>
      <c r="C87" s="107" t="s">
        <v>36</v>
      </c>
      <c r="D87" s="107" t="s">
        <v>36</v>
      </c>
      <c r="E87" s="107" t="s">
        <v>1183</v>
      </c>
      <c r="F87" s="107" t="s">
        <v>36</v>
      </c>
      <c r="G87" s="107" t="s">
        <v>946</v>
      </c>
      <c r="H87" s="107" t="s">
        <v>524</v>
      </c>
      <c r="I87" s="107" t="s">
        <v>36</v>
      </c>
      <c r="J87" s="107" t="s">
        <v>36</v>
      </c>
      <c r="K87" s="107" t="s">
        <v>36</v>
      </c>
      <c r="L87" s="107" t="s">
        <v>732</v>
      </c>
      <c r="M87" s="107"/>
    </row>
    <row r="88" spans="1:13" ht="29" x14ac:dyDescent="0.35">
      <c r="A88" s="118" t="s">
        <v>267</v>
      </c>
      <c r="B88" s="107" t="s">
        <v>40</v>
      </c>
      <c r="C88" s="107" t="s">
        <v>40</v>
      </c>
      <c r="D88" s="107" t="s">
        <v>40</v>
      </c>
      <c r="E88" s="107" t="s">
        <v>1184</v>
      </c>
      <c r="F88" s="107" t="s">
        <v>40</v>
      </c>
      <c r="G88" s="107" t="s">
        <v>947</v>
      </c>
      <c r="H88" s="107" t="s">
        <v>525</v>
      </c>
      <c r="I88" s="107" t="s">
        <v>40</v>
      </c>
      <c r="J88" s="107" t="s">
        <v>40</v>
      </c>
      <c r="K88" s="107" t="s">
        <v>40</v>
      </c>
      <c r="L88" s="107" t="s">
        <v>733</v>
      </c>
      <c r="M88" s="107"/>
    </row>
    <row r="89" spans="1:13" ht="43.5" x14ac:dyDescent="0.35">
      <c r="A89" s="118" t="s">
        <v>268</v>
      </c>
      <c r="B89" s="107" t="s">
        <v>45</v>
      </c>
      <c r="C89" s="107" t="s">
        <v>45</v>
      </c>
      <c r="D89" s="107" t="s">
        <v>45</v>
      </c>
      <c r="E89" s="107" t="s">
        <v>1185</v>
      </c>
      <c r="F89" s="107" t="s">
        <v>45</v>
      </c>
      <c r="G89" s="107" t="s">
        <v>948</v>
      </c>
      <c r="H89" s="107" t="s">
        <v>526</v>
      </c>
      <c r="I89" s="107" t="s">
        <v>45</v>
      </c>
      <c r="J89" s="107" t="s">
        <v>45</v>
      </c>
      <c r="K89" s="107" t="s">
        <v>45</v>
      </c>
      <c r="L89" s="107" t="s">
        <v>734</v>
      </c>
      <c r="M89" s="107"/>
    </row>
    <row r="90" spans="1:13" ht="29" x14ac:dyDescent="0.35">
      <c r="A90" s="118" t="s">
        <v>269</v>
      </c>
      <c r="B90" s="107" t="s">
        <v>423</v>
      </c>
      <c r="C90" s="107" t="s">
        <v>423</v>
      </c>
      <c r="D90" s="107" t="s">
        <v>423</v>
      </c>
      <c r="E90" s="107" t="s">
        <v>1186</v>
      </c>
      <c r="F90" s="107" t="s">
        <v>423</v>
      </c>
      <c r="G90" s="107" t="s">
        <v>949</v>
      </c>
      <c r="H90" s="107" t="s">
        <v>527</v>
      </c>
      <c r="I90" s="107" t="s">
        <v>423</v>
      </c>
      <c r="J90" s="107" t="s">
        <v>423</v>
      </c>
      <c r="K90" s="107" t="s">
        <v>423</v>
      </c>
      <c r="L90" s="107" t="s">
        <v>735</v>
      </c>
      <c r="M90" s="107"/>
    </row>
    <row r="91" spans="1:13" ht="29" x14ac:dyDescent="0.35">
      <c r="A91" s="118" t="s">
        <v>270</v>
      </c>
      <c r="B91" s="107" t="s">
        <v>41</v>
      </c>
      <c r="C91" s="107" t="s">
        <v>41</v>
      </c>
      <c r="D91" s="107" t="s">
        <v>41</v>
      </c>
      <c r="E91" s="107" t="s">
        <v>1187</v>
      </c>
      <c r="F91" s="107" t="s">
        <v>41</v>
      </c>
      <c r="G91" s="107" t="s">
        <v>950</v>
      </c>
      <c r="H91" s="107" t="s">
        <v>528</v>
      </c>
      <c r="I91" s="107" t="s">
        <v>41</v>
      </c>
      <c r="J91" s="107" t="s">
        <v>41</v>
      </c>
      <c r="K91" s="107" t="s">
        <v>41</v>
      </c>
      <c r="L91" s="107" t="s">
        <v>736</v>
      </c>
      <c r="M91" s="107"/>
    </row>
    <row r="92" spans="1:13" ht="29" x14ac:dyDescent="0.35">
      <c r="A92" s="118" t="s">
        <v>271</v>
      </c>
      <c r="B92" s="107" t="s">
        <v>33</v>
      </c>
      <c r="C92" s="107" t="s">
        <v>33</v>
      </c>
      <c r="D92" s="107" t="s">
        <v>33</v>
      </c>
      <c r="E92" s="107" t="s">
        <v>1188</v>
      </c>
      <c r="F92" s="107" t="s">
        <v>33</v>
      </c>
      <c r="G92" s="107" t="s">
        <v>951</v>
      </c>
      <c r="H92" s="107" t="s">
        <v>529</v>
      </c>
      <c r="I92" s="107" t="s">
        <v>33</v>
      </c>
      <c r="J92" s="107" t="s">
        <v>33</v>
      </c>
      <c r="K92" s="107" t="s">
        <v>33</v>
      </c>
      <c r="L92" s="107" t="s">
        <v>737</v>
      </c>
      <c r="M92" s="107"/>
    </row>
    <row r="93" spans="1:13" ht="101.5" x14ac:dyDescent="0.35">
      <c r="A93" s="118" t="s">
        <v>272</v>
      </c>
      <c r="B93" s="107" t="s">
        <v>438</v>
      </c>
      <c r="C93" s="107" t="s">
        <v>438</v>
      </c>
      <c r="D93" s="107" t="s">
        <v>438</v>
      </c>
      <c r="E93" s="107" t="s">
        <v>1189</v>
      </c>
      <c r="F93" s="107" t="s">
        <v>438</v>
      </c>
      <c r="G93" s="107" t="s">
        <v>952</v>
      </c>
      <c r="H93" s="107" t="s">
        <v>530</v>
      </c>
      <c r="I93" s="107" t="s">
        <v>438</v>
      </c>
      <c r="J93" s="107" t="s">
        <v>438</v>
      </c>
      <c r="K93" s="107" t="s">
        <v>438</v>
      </c>
      <c r="L93" s="107" t="s">
        <v>738</v>
      </c>
      <c r="M93" s="107"/>
    </row>
    <row r="94" spans="1:13" ht="29" x14ac:dyDescent="0.35">
      <c r="A94" s="118" t="s">
        <v>273</v>
      </c>
      <c r="B94" s="107" t="s">
        <v>107</v>
      </c>
      <c r="C94" s="107" t="s">
        <v>107</v>
      </c>
      <c r="D94" s="107" t="s">
        <v>107</v>
      </c>
      <c r="E94" s="107" t="s">
        <v>1190</v>
      </c>
      <c r="F94" s="107" t="s">
        <v>107</v>
      </c>
      <c r="G94" s="107" t="s">
        <v>953</v>
      </c>
      <c r="H94" s="107" t="s">
        <v>531</v>
      </c>
      <c r="I94" s="107" t="s">
        <v>107</v>
      </c>
      <c r="J94" s="107" t="s">
        <v>107</v>
      </c>
      <c r="K94" s="107" t="s">
        <v>107</v>
      </c>
      <c r="L94" s="107" t="s">
        <v>739</v>
      </c>
      <c r="M94" s="107"/>
    </row>
    <row r="95" spans="1:13" ht="43.5" x14ac:dyDescent="0.35">
      <c r="A95" s="118" t="s">
        <v>274</v>
      </c>
      <c r="B95" s="107" t="s">
        <v>102</v>
      </c>
      <c r="C95" s="107" t="s">
        <v>102</v>
      </c>
      <c r="D95" s="107" t="s">
        <v>102</v>
      </c>
      <c r="E95" s="107" t="s">
        <v>1191</v>
      </c>
      <c r="F95" s="107" t="s">
        <v>102</v>
      </c>
      <c r="G95" s="107" t="s">
        <v>954</v>
      </c>
      <c r="H95" s="107" t="s">
        <v>532</v>
      </c>
      <c r="I95" s="107" t="s">
        <v>102</v>
      </c>
      <c r="J95" s="107" t="s">
        <v>102</v>
      </c>
      <c r="K95" s="107" t="s">
        <v>102</v>
      </c>
      <c r="L95" s="107" t="s">
        <v>740</v>
      </c>
      <c r="M95" s="107"/>
    </row>
    <row r="96" spans="1:13" ht="43.5" x14ac:dyDescent="0.35">
      <c r="A96" s="118" t="s">
        <v>275</v>
      </c>
      <c r="B96" s="107" t="s">
        <v>61</v>
      </c>
      <c r="C96" s="107" t="s">
        <v>61</v>
      </c>
      <c r="D96" s="107" t="s">
        <v>61</v>
      </c>
      <c r="E96" s="107" t="s">
        <v>1192</v>
      </c>
      <c r="F96" s="107" t="s">
        <v>61</v>
      </c>
      <c r="G96" s="107" t="s">
        <v>955</v>
      </c>
      <c r="H96" s="107" t="s">
        <v>533</v>
      </c>
      <c r="I96" s="107" t="s">
        <v>61</v>
      </c>
      <c r="J96" s="107" t="s">
        <v>61</v>
      </c>
      <c r="K96" s="107" t="s">
        <v>61</v>
      </c>
      <c r="L96" s="107" t="s">
        <v>741</v>
      </c>
      <c r="M96" s="107"/>
    </row>
    <row r="97" spans="1:13" ht="58" x14ac:dyDescent="0.35">
      <c r="A97" s="118" t="s">
        <v>276</v>
      </c>
      <c r="B97" s="107" t="s">
        <v>25</v>
      </c>
      <c r="C97" s="107" t="s">
        <v>25</v>
      </c>
      <c r="D97" s="107" t="s">
        <v>25</v>
      </c>
      <c r="E97" s="107" t="s">
        <v>1193</v>
      </c>
      <c r="F97" s="107" t="s">
        <v>25</v>
      </c>
      <c r="G97" s="107" t="s">
        <v>956</v>
      </c>
      <c r="H97" s="107" t="s">
        <v>534</v>
      </c>
      <c r="I97" s="107" t="s">
        <v>25</v>
      </c>
      <c r="J97" s="107" t="s">
        <v>25</v>
      </c>
      <c r="K97" s="107" t="s">
        <v>25</v>
      </c>
      <c r="L97" s="107" t="s">
        <v>742</v>
      </c>
      <c r="M97" s="107"/>
    </row>
    <row r="98" spans="1:13" ht="116" x14ac:dyDescent="0.35">
      <c r="A98" s="118" t="s">
        <v>277</v>
      </c>
      <c r="B98" s="107" t="s">
        <v>188</v>
      </c>
      <c r="C98" s="107" t="s">
        <v>188</v>
      </c>
      <c r="D98" s="107" t="s">
        <v>188</v>
      </c>
      <c r="E98" s="107" t="s">
        <v>1194</v>
      </c>
      <c r="F98" s="107" t="s">
        <v>188</v>
      </c>
      <c r="G98" s="107" t="s">
        <v>957</v>
      </c>
      <c r="H98" s="107" t="s">
        <v>535</v>
      </c>
      <c r="I98" s="107" t="s">
        <v>188</v>
      </c>
      <c r="J98" s="107" t="s">
        <v>188</v>
      </c>
      <c r="K98" s="107" t="s">
        <v>188</v>
      </c>
      <c r="L98" s="107" t="s">
        <v>743</v>
      </c>
      <c r="M98" s="107"/>
    </row>
    <row r="99" spans="1:13" ht="116" x14ac:dyDescent="0.35">
      <c r="A99" s="118" t="s">
        <v>278</v>
      </c>
      <c r="B99" s="107" t="s">
        <v>188</v>
      </c>
      <c r="C99" s="107" t="s">
        <v>188</v>
      </c>
      <c r="D99" s="107" t="s">
        <v>188</v>
      </c>
      <c r="E99" s="107" t="s">
        <v>1194</v>
      </c>
      <c r="F99" s="107" t="s">
        <v>188</v>
      </c>
      <c r="G99" s="107" t="s">
        <v>957</v>
      </c>
      <c r="H99" s="107" t="s">
        <v>535</v>
      </c>
      <c r="I99" s="107" t="s">
        <v>188</v>
      </c>
      <c r="J99" s="107" t="s">
        <v>188</v>
      </c>
      <c r="K99" s="107" t="s">
        <v>188</v>
      </c>
      <c r="L99" s="107" t="s">
        <v>743</v>
      </c>
      <c r="M99" s="107"/>
    </row>
    <row r="100" spans="1:13" x14ac:dyDescent="0.35">
      <c r="A100" s="118" t="s">
        <v>279</v>
      </c>
      <c r="B100" s="107" t="s">
        <v>28</v>
      </c>
      <c r="C100" s="107" t="s">
        <v>28</v>
      </c>
      <c r="D100" s="107" t="s">
        <v>28</v>
      </c>
      <c r="E100" s="107" t="s">
        <v>1195</v>
      </c>
      <c r="F100" s="107" t="s">
        <v>28</v>
      </c>
      <c r="G100" s="107" t="s">
        <v>536</v>
      </c>
      <c r="H100" s="107" t="s">
        <v>536</v>
      </c>
      <c r="I100" s="107" t="s">
        <v>28</v>
      </c>
      <c r="J100" s="107" t="s">
        <v>28</v>
      </c>
      <c r="K100" s="107" t="s">
        <v>28</v>
      </c>
      <c r="L100" s="107" t="s">
        <v>744</v>
      </c>
      <c r="M100" s="107"/>
    </row>
    <row r="101" spans="1:13" x14ac:dyDescent="0.35">
      <c r="A101" s="118" t="s">
        <v>280</v>
      </c>
      <c r="B101" s="107" t="s">
        <v>86</v>
      </c>
      <c r="C101" s="107" t="s">
        <v>86</v>
      </c>
      <c r="D101" s="107" t="s">
        <v>86</v>
      </c>
      <c r="E101" s="107" t="s">
        <v>958</v>
      </c>
      <c r="F101" s="107" t="s">
        <v>86</v>
      </c>
      <c r="G101" s="107" t="s">
        <v>959</v>
      </c>
      <c r="H101" s="107" t="s">
        <v>537</v>
      </c>
      <c r="I101" s="107" t="s">
        <v>86</v>
      </c>
      <c r="J101" s="107" t="s">
        <v>86</v>
      </c>
      <c r="K101" s="107" t="s">
        <v>86</v>
      </c>
      <c r="L101" s="107" t="s">
        <v>745</v>
      </c>
      <c r="M101" s="107"/>
    </row>
    <row r="102" spans="1:13" x14ac:dyDescent="0.35">
      <c r="A102" s="118" t="s">
        <v>281</v>
      </c>
      <c r="B102" s="107" t="s">
        <v>2</v>
      </c>
      <c r="C102" s="107" t="s">
        <v>2</v>
      </c>
      <c r="D102" s="107" t="s">
        <v>2</v>
      </c>
      <c r="E102" s="107" t="s">
        <v>1196</v>
      </c>
      <c r="F102" s="107" t="s">
        <v>2</v>
      </c>
      <c r="G102" s="107" t="s">
        <v>960</v>
      </c>
      <c r="H102" s="107" t="s">
        <v>538</v>
      </c>
      <c r="I102" s="107" t="s">
        <v>2</v>
      </c>
      <c r="J102" s="107" t="s">
        <v>2</v>
      </c>
      <c r="K102" s="107" t="s">
        <v>2</v>
      </c>
      <c r="L102" s="107" t="s">
        <v>746</v>
      </c>
      <c r="M102" s="107"/>
    </row>
    <row r="103" spans="1:13" x14ac:dyDescent="0.35">
      <c r="A103" s="118" t="s">
        <v>282</v>
      </c>
      <c r="B103" s="107" t="s">
        <v>30</v>
      </c>
      <c r="C103" s="107" t="s">
        <v>30</v>
      </c>
      <c r="D103" s="107" t="s">
        <v>30</v>
      </c>
      <c r="E103" s="107" t="s">
        <v>1197</v>
      </c>
      <c r="F103" s="107" t="s">
        <v>30</v>
      </c>
      <c r="G103" s="107" t="s">
        <v>961</v>
      </c>
      <c r="H103" s="107" t="s">
        <v>539</v>
      </c>
      <c r="I103" s="107" t="s">
        <v>30</v>
      </c>
      <c r="J103" s="107" t="s">
        <v>30</v>
      </c>
      <c r="K103" s="107" t="s">
        <v>30</v>
      </c>
      <c r="L103" s="107" t="s">
        <v>747</v>
      </c>
      <c r="M103" s="107"/>
    </row>
    <row r="104" spans="1:13" ht="29" x14ac:dyDescent="0.35">
      <c r="A104" s="118" t="s">
        <v>283</v>
      </c>
      <c r="B104" s="107" t="s">
        <v>69</v>
      </c>
      <c r="C104" s="107" t="s">
        <v>69</v>
      </c>
      <c r="D104" s="107" t="s">
        <v>69</v>
      </c>
      <c r="E104" s="107" t="s">
        <v>1198</v>
      </c>
      <c r="F104" s="107" t="s">
        <v>69</v>
      </c>
      <c r="G104" s="107" t="s">
        <v>962</v>
      </c>
      <c r="H104" s="107" t="s">
        <v>540</v>
      </c>
      <c r="I104" s="107" t="s">
        <v>69</v>
      </c>
      <c r="J104" s="107" t="s">
        <v>69</v>
      </c>
      <c r="K104" s="107" t="s">
        <v>69</v>
      </c>
      <c r="L104" s="107" t="s">
        <v>748</v>
      </c>
      <c r="M104" s="107"/>
    </row>
    <row r="105" spans="1:13" ht="43.5" x14ac:dyDescent="0.35">
      <c r="A105" s="118" t="s">
        <v>284</v>
      </c>
      <c r="B105" s="107" t="s">
        <v>52</v>
      </c>
      <c r="C105" s="107" t="s">
        <v>52</v>
      </c>
      <c r="D105" s="107" t="s">
        <v>52</v>
      </c>
      <c r="E105" s="107" t="s">
        <v>1199</v>
      </c>
      <c r="F105" s="107" t="s">
        <v>52</v>
      </c>
      <c r="G105" s="107" t="s">
        <v>963</v>
      </c>
      <c r="H105" s="107" t="s">
        <v>541</v>
      </c>
      <c r="I105" s="107" t="s">
        <v>52</v>
      </c>
      <c r="J105" s="107" t="s">
        <v>52</v>
      </c>
      <c r="K105" s="107" t="s">
        <v>52</v>
      </c>
      <c r="L105" s="107" t="s">
        <v>749</v>
      </c>
      <c r="M105" s="107"/>
    </row>
    <row r="106" spans="1:13" x14ac:dyDescent="0.35">
      <c r="A106" s="118" t="s">
        <v>161</v>
      </c>
      <c r="B106" s="107" t="s">
        <v>161</v>
      </c>
      <c r="C106" s="107" t="s">
        <v>161</v>
      </c>
      <c r="D106" s="107" t="s">
        <v>161</v>
      </c>
      <c r="E106" s="107" t="s">
        <v>964</v>
      </c>
      <c r="F106" s="107" t="s">
        <v>161</v>
      </c>
      <c r="G106" s="107" t="s">
        <v>965</v>
      </c>
      <c r="H106" s="107" t="s">
        <v>542</v>
      </c>
      <c r="I106" s="107" t="s">
        <v>161</v>
      </c>
      <c r="J106" s="107" t="s">
        <v>161</v>
      </c>
      <c r="K106" s="107" t="s">
        <v>161</v>
      </c>
      <c r="L106" s="107" t="s">
        <v>750</v>
      </c>
      <c r="M106" s="107"/>
    </row>
    <row r="107" spans="1:13" x14ac:dyDescent="0.35">
      <c r="A107" s="118" t="s">
        <v>285</v>
      </c>
      <c r="B107" s="107" t="s">
        <v>5</v>
      </c>
      <c r="C107" s="107" t="s">
        <v>5</v>
      </c>
      <c r="D107" s="107" t="s">
        <v>5</v>
      </c>
      <c r="E107" s="107" t="s">
        <v>1200</v>
      </c>
      <c r="F107" s="107" t="s">
        <v>5</v>
      </c>
      <c r="G107" s="107" t="s">
        <v>966</v>
      </c>
      <c r="H107" s="107" t="s">
        <v>543</v>
      </c>
      <c r="I107" s="107" t="s">
        <v>5</v>
      </c>
      <c r="J107" s="107" t="s">
        <v>5</v>
      </c>
      <c r="K107" s="107" t="s">
        <v>5</v>
      </c>
      <c r="L107" s="107" t="s">
        <v>751</v>
      </c>
      <c r="M107" s="107"/>
    </row>
    <row r="108" spans="1:13" x14ac:dyDescent="0.35">
      <c r="A108" s="118" t="s">
        <v>55</v>
      </c>
      <c r="B108" s="107" t="s">
        <v>55</v>
      </c>
      <c r="C108" s="107" t="s">
        <v>55</v>
      </c>
      <c r="D108" s="107" t="s">
        <v>55</v>
      </c>
      <c r="E108" t="s">
        <v>967</v>
      </c>
      <c r="F108" s="107" t="s">
        <v>55</v>
      </c>
      <c r="G108" s="107" t="s">
        <v>968</v>
      </c>
      <c r="H108" s="107" t="s">
        <v>544</v>
      </c>
      <c r="I108" s="107" t="s">
        <v>55</v>
      </c>
      <c r="J108" s="107" t="s">
        <v>55</v>
      </c>
      <c r="K108" s="107" t="s">
        <v>55</v>
      </c>
      <c r="L108" s="107" t="s">
        <v>752</v>
      </c>
      <c r="M108" s="107"/>
    </row>
    <row r="109" spans="1:13" x14ac:dyDescent="0.35">
      <c r="A109" s="118" t="s">
        <v>286</v>
      </c>
      <c r="B109" s="107" t="s">
        <v>22</v>
      </c>
      <c r="C109" s="107" t="s">
        <v>22</v>
      </c>
      <c r="D109" s="107" t="s">
        <v>22</v>
      </c>
      <c r="E109" s="107" t="s">
        <v>1201</v>
      </c>
      <c r="F109" s="107" t="s">
        <v>22</v>
      </c>
      <c r="G109" s="107" t="s">
        <v>969</v>
      </c>
      <c r="H109" s="107" t="s">
        <v>545</v>
      </c>
      <c r="I109" s="107" t="s">
        <v>22</v>
      </c>
      <c r="J109" s="107" t="s">
        <v>22</v>
      </c>
      <c r="K109" s="107" t="s">
        <v>22</v>
      </c>
      <c r="L109" s="107" t="s">
        <v>753</v>
      </c>
      <c r="M109" s="107"/>
    </row>
    <row r="110" spans="1:13" x14ac:dyDescent="0.35">
      <c r="A110" s="117" t="s">
        <v>287</v>
      </c>
      <c r="B110" s="107" t="s">
        <v>23</v>
      </c>
      <c r="C110" s="107" t="s">
        <v>23</v>
      </c>
      <c r="D110" s="107" t="s">
        <v>23</v>
      </c>
      <c r="E110" s="107" t="s">
        <v>1202</v>
      </c>
      <c r="F110" s="107" t="s">
        <v>23</v>
      </c>
      <c r="G110" s="107" t="s">
        <v>970</v>
      </c>
      <c r="H110" s="107" t="s">
        <v>546</v>
      </c>
      <c r="I110" s="107" t="s">
        <v>23</v>
      </c>
      <c r="J110" s="107" t="s">
        <v>23</v>
      </c>
      <c r="K110" s="107" t="s">
        <v>23</v>
      </c>
      <c r="L110" s="107" t="s">
        <v>754</v>
      </c>
      <c r="M110" s="107"/>
    </row>
    <row r="111" spans="1:13" x14ac:dyDescent="0.35">
      <c r="A111" s="118" t="s">
        <v>288</v>
      </c>
      <c r="B111" s="107" t="s">
        <v>124</v>
      </c>
      <c r="C111" s="107" t="s">
        <v>124</v>
      </c>
      <c r="D111" s="107" t="s">
        <v>124</v>
      </c>
      <c r="E111" s="107" t="s">
        <v>1203</v>
      </c>
      <c r="F111" s="107" t="s">
        <v>124</v>
      </c>
      <c r="G111" s="107" t="s">
        <v>971</v>
      </c>
      <c r="H111" s="107" t="s">
        <v>547</v>
      </c>
      <c r="I111" s="107" t="s">
        <v>124</v>
      </c>
      <c r="J111" s="107" t="s">
        <v>124</v>
      </c>
      <c r="K111" s="107" t="s">
        <v>124</v>
      </c>
      <c r="L111" s="107" t="s">
        <v>755</v>
      </c>
      <c r="M111" s="107"/>
    </row>
    <row r="112" spans="1:13" x14ac:dyDescent="0.35">
      <c r="A112" s="118" t="s">
        <v>289</v>
      </c>
      <c r="B112" s="107" t="s">
        <v>7</v>
      </c>
      <c r="C112" s="107" t="s">
        <v>7</v>
      </c>
      <c r="D112" s="107" t="s">
        <v>7</v>
      </c>
      <c r="E112" s="107" t="s">
        <v>1204</v>
      </c>
      <c r="F112" s="107" t="s">
        <v>7</v>
      </c>
      <c r="G112" s="107" t="s">
        <v>972</v>
      </c>
      <c r="H112" s="107" t="s">
        <v>548</v>
      </c>
      <c r="I112" s="107" t="s">
        <v>7</v>
      </c>
      <c r="J112" s="107" t="s">
        <v>7</v>
      </c>
      <c r="K112" s="107" t="s">
        <v>7</v>
      </c>
      <c r="L112" s="107" t="s">
        <v>756</v>
      </c>
      <c r="M112" s="107"/>
    </row>
    <row r="113" spans="1:13" x14ac:dyDescent="0.35">
      <c r="A113" s="118" t="s">
        <v>29</v>
      </c>
      <c r="B113" s="107" t="s">
        <v>29</v>
      </c>
      <c r="C113" s="107" t="s">
        <v>29</v>
      </c>
      <c r="D113" s="107" t="s">
        <v>29</v>
      </c>
      <c r="E113" s="107" t="s">
        <v>1205</v>
      </c>
      <c r="F113" s="107" t="s">
        <v>29</v>
      </c>
      <c r="G113" s="107" t="s">
        <v>973</v>
      </c>
      <c r="H113" s="107" t="s">
        <v>549</v>
      </c>
      <c r="I113" s="107" t="s">
        <v>29</v>
      </c>
      <c r="J113" s="107" t="s">
        <v>29</v>
      </c>
      <c r="K113" s="107" t="s">
        <v>29</v>
      </c>
      <c r="L113" s="107" t="s">
        <v>757</v>
      </c>
      <c r="M113" s="107"/>
    </row>
    <row r="114" spans="1:13" ht="29" x14ac:dyDescent="0.35">
      <c r="A114" s="118" t="s">
        <v>290</v>
      </c>
      <c r="B114" s="107" t="s">
        <v>176</v>
      </c>
      <c r="C114" s="107" t="s">
        <v>176</v>
      </c>
      <c r="D114" s="107" t="s">
        <v>176</v>
      </c>
      <c r="E114" s="107" t="s">
        <v>1075</v>
      </c>
      <c r="F114" s="107" t="s">
        <v>176</v>
      </c>
      <c r="G114" s="107" t="s">
        <v>974</v>
      </c>
      <c r="H114" s="107" t="s">
        <v>550</v>
      </c>
      <c r="I114" s="107" t="s">
        <v>176</v>
      </c>
      <c r="J114" s="107" t="s">
        <v>176</v>
      </c>
      <c r="K114" s="107" t="s">
        <v>176</v>
      </c>
      <c r="L114" s="107" t="s">
        <v>758</v>
      </c>
      <c r="M114" s="107"/>
    </row>
    <row r="115" spans="1:13" ht="29" x14ac:dyDescent="0.35">
      <c r="A115" s="118" t="s">
        <v>387</v>
      </c>
      <c r="B115" s="107" t="s">
        <v>384</v>
      </c>
      <c r="C115" s="107" t="s">
        <v>384</v>
      </c>
      <c r="D115" s="107" t="s">
        <v>384</v>
      </c>
      <c r="E115" s="107" t="s">
        <v>1075</v>
      </c>
      <c r="F115" s="107" t="s">
        <v>384</v>
      </c>
      <c r="G115" s="107" t="s">
        <v>974</v>
      </c>
      <c r="H115" s="107" t="s">
        <v>550</v>
      </c>
      <c r="I115" s="107" t="s">
        <v>384</v>
      </c>
      <c r="J115" s="107" t="s">
        <v>384</v>
      </c>
      <c r="K115" s="107" t="s">
        <v>384</v>
      </c>
      <c r="L115" s="107" t="s">
        <v>758</v>
      </c>
      <c r="M115" s="107"/>
    </row>
    <row r="116" spans="1:13" x14ac:dyDescent="0.35">
      <c r="A116" s="118" t="s">
        <v>291</v>
      </c>
      <c r="B116" s="107" t="s">
        <v>9</v>
      </c>
      <c r="C116" s="107" t="s">
        <v>9</v>
      </c>
      <c r="D116" s="107" t="s">
        <v>9</v>
      </c>
      <c r="E116" s="107" t="s">
        <v>1206</v>
      </c>
      <c r="F116" s="107" t="s">
        <v>9</v>
      </c>
      <c r="G116" s="107" t="s">
        <v>975</v>
      </c>
      <c r="H116" s="107" t="s">
        <v>551</v>
      </c>
      <c r="I116" s="107" t="s">
        <v>9</v>
      </c>
      <c r="J116" s="107" t="s">
        <v>9</v>
      </c>
      <c r="K116" s="107" t="s">
        <v>9</v>
      </c>
      <c r="L116" s="107" t="s">
        <v>759</v>
      </c>
      <c r="M116" s="107"/>
    </row>
    <row r="117" spans="1:13" ht="72.5" x14ac:dyDescent="0.35">
      <c r="A117" s="118" t="s">
        <v>292</v>
      </c>
      <c r="B117" s="107" t="s">
        <v>101</v>
      </c>
      <c r="C117" s="107" t="s">
        <v>101</v>
      </c>
      <c r="D117" s="107" t="s">
        <v>101</v>
      </c>
      <c r="E117" s="107" t="s">
        <v>1207</v>
      </c>
      <c r="F117" s="107" t="s">
        <v>101</v>
      </c>
      <c r="G117" s="107" t="s">
        <v>976</v>
      </c>
      <c r="H117" s="107" t="s">
        <v>552</v>
      </c>
      <c r="I117" s="107" t="s">
        <v>101</v>
      </c>
      <c r="J117" s="107" t="s">
        <v>101</v>
      </c>
      <c r="K117" s="107" t="s">
        <v>101</v>
      </c>
      <c r="L117" s="107" t="s">
        <v>760</v>
      </c>
      <c r="M117" s="107"/>
    </row>
    <row r="118" spans="1:13" ht="72.5" x14ac:dyDescent="0.35">
      <c r="A118" s="118" t="s">
        <v>293</v>
      </c>
      <c r="B118" s="107" t="s">
        <v>150</v>
      </c>
      <c r="C118" s="107" t="s">
        <v>150</v>
      </c>
      <c r="D118" s="107" t="s">
        <v>150</v>
      </c>
      <c r="E118" s="107" t="s">
        <v>1208</v>
      </c>
      <c r="F118" s="107" t="s">
        <v>150</v>
      </c>
      <c r="G118" s="107" t="s">
        <v>977</v>
      </c>
      <c r="H118" s="107" t="s">
        <v>553</v>
      </c>
      <c r="I118" s="107" t="s">
        <v>150</v>
      </c>
      <c r="J118" s="107" t="s">
        <v>150</v>
      </c>
      <c r="K118" s="107" t="s">
        <v>150</v>
      </c>
      <c r="L118" s="107" t="s">
        <v>761</v>
      </c>
      <c r="M118" s="107"/>
    </row>
    <row r="119" spans="1:13" ht="43.5" x14ac:dyDescent="0.35">
      <c r="A119" s="118" t="s">
        <v>294</v>
      </c>
      <c r="B119" s="107" t="s">
        <v>181</v>
      </c>
      <c r="C119" s="107" t="s">
        <v>181</v>
      </c>
      <c r="D119" s="107" t="s">
        <v>181</v>
      </c>
      <c r="E119" s="107" t="s">
        <v>1209</v>
      </c>
      <c r="F119" s="107" t="s">
        <v>181</v>
      </c>
      <c r="G119" s="107" t="s">
        <v>978</v>
      </c>
      <c r="H119" s="107" t="s">
        <v>554</v>
      </c>
      <c r="I119" s="107" t="s">
        <v>181</v>
      </c>
      <c r="J119" s="107" t="s">
        <v>181</v>
      </c>
      <c r="K119" s="107" t="s">
        <v>181</v>
      </c>
      <c r="L119" s="107" t="s">
        <v>762</v>
      </c>
      <c r="M119" s="107"/>
    </row>
    <row r="120" spans="1:13" ht="29" x14ac:dyDescent="0.35">
      <c r="A120" s="118" t="s">
        <v>295</v>
      </c>
      <c r="B120" s="107" t="s">
        <v>70</v>
      </c>
      <c r="C120" s="107" t="s">
        <v>70</v>
      </c>
      <c r="D120" s="107" t="s">
        <v>70</v>
      </c>
      <c r="E120" s="107" t="s">
        <v>1210</v>
      </c>
      <c r="F120" s="107" t="s">
        <v>70</v>
      </c>
      <c r="G120" s="107" t="s">
        <v>979</v>
      </c>
      <c r="H120" s="107" t="s">
        <v>555</v>
      </c>
      <c r="I120" s="107" t="s">
        <v>70</v>
      </c>
      <c r="J120" s="107" t="s">
        <v>70</v>
      </c>
      <c r="K120" s="107" t="s">
        <v>70</v>
      </c>
      <c r="L120" s="107" t="s">
        <v>763</v>
      </c>
      <c r="M120" s="107"/>
    </row>
    <row r="121" spans="1:13" ht="29" x14ac:dyDescent="0.35">
      <c r="A121" s="118" t="s">
        <v>296</v>
      </c>
      <c r="B121" s="107" t="s">
        <v>56</v>
      </c>
      <c r="C121" s="107" t="s">
        <v>56</v>
      </c>
      <c r="D121" s="107" t="s">
        <v>56</v>
      </c>
      <c r="E121" s="107" t="s">
        <v>1211</v>
      </c>
      <c r="F121" s="107" t="s">
        <v>56</v>
      </c>
      <c r="G121" s="107" t="s">
        <v>980</v>
      </c>
      <c r="H121" s="107" t="s">
        <v>556</v>
      </c>
      <c r="I121" s="107" t="s">
        <v>56</v>
      </c>
      <c r="J121" s="107" t="s">
        <v>56</v>
      </c>
      <c r="K121" s="107" t="s">
        <v>56</v>
      </c>
      <c r="L121" s="107" t="s">
        <v>764</v>
      </c>
      <c r="M121" s="107"/>
    </row>
    <row r="122" spans="1:13" x14ac:dyDescent="0.35">
      <c r="A122" s="118" t="s">
        <v>297</v>
      </c>
      <c r="B122" s="107" t="s">
        <v>134</v>
      </c>
      <c r="C122" s="107" t="s">
        <v>134</v>
      </c>
      <c r="D122" s="107" t="s">
        <v>134</v>
      </c>
      <c r="E122" s="107" t="s">
        <v>1212</v>
      </c>
      <c r="F122" s="107" t="s">
        <v>134</v>
      </c>
      <c r="G122" s="107" t="s">
        <v>981</v>
      </c>
      <c r="H122" s="107" t="s">
        <v>557</v>
      </c>
      <c r="I122" s="107" t="s">
        <v>134</v>
      </c>
      <c r="J122" s="107" t="s">
        <v>134</v>
      </c>
      <c r="K122" s="107" t="s">
        <v>134</v>
      </c>
      <c r="L122" s="107" t="s">
        <v>765</v>
      </c>
      <c r="M122" s="107"/>
    </row>
    <row r="123" spans="1:13" ht="43.5" x14ac:dyDescent="0.35">
      <c r="A123" s="118" t="s">
        <v>298</v>
      </c>
      <c r="B123" s="107" t="s">
        <v>422</v>
      </c>
      <c r="C123" s="107" t="s">
        <v>422</v>
      </c>
      <c r="D123" s="107" t="s">
        <v>422</v>
      </c>
      <c r="E123" s="107" t="s">
        <v>1213</v>
      </c>
      <c r="F123" s="107" t="s">
        <v>422</v>
      </c>
      <c r="G123" s="107" t="s">
        <v>982</v>
      </c>
      <c r="H123" s="107" t="s">
        <v>558</v>
      </c>
      <c r="I123" s="107" t="s">
        <v>422</v>
      </c>
      <c r="J123" s="107" t="s">
        <v>422</v>
      </c>
      <c r="K123" s="107" t="s">
        <v>422</v>
      </c>
      <c r="L123" s="107" t="s">
        <v>766</v>
      </c>
      <c r="M123" s="107"/>
    </row>
    <row r="124" spans="1:13" x14ac:dyDescent="0.35">
      <c r="A124" s="118" t="s">
        <v>38</v>
      </c>
      <c r="B124" s="107" t="s">
        <v>427</v>
      </c>
      <c r="C124" s="107" t="s">
        <v>427</v>
      </c>
      <c r="D124" s="107" t="s">
        <v>427</v>
      </c>
      <c r="E124" s="107" t="s">
        <v>1214</v>
      </c>
      <c r="F124" s="107" t="s">
        <v>427</v>
      </c>
      <c r="G124" s="107" t="s">
        <v>983</v>
      </c>
      <c r="H124" s="107" t="s">
        <v>559</v>
      </c>
      <c r="I124" s="107" t="s">
        <v>427</v>
      </c>
      <c r="J124" s="107" t="s">
        <v>427</v>
      </c>
      <c r="K124" s="107" t="s">
        <v>427</v>
      </c>
      <c r="L124" s="107" t="s">
        <v>767</v>
      </c>
      <c r="M124" s="107"/>
    </row>
    <row r="125" spans="1:13" ht="15" x14ac:dyDescent="0.35">
      <c r="A125" s="118" t="s">
        <v>299</v>
      </c>
      <c r="B125" s="107" t="s">
        <v>175</v>
      </c>
      <c r="C125" s="107" t="s">
        <v>175</v>
      </c>
      <c r="D125" s="107" t="s">
        <v>175</v>
      </c>
      <c r="E125" s="107" t="s">
        <v>984</v>
      </c>
      <c r="F125" s="107" t="s">
        <v>175</v>
      </c>
      <c r="G125" s="132" t="s">
        <v>1080</v>
      </c>
      <c r="H125" s="107" t="s">
        <v>1086</v>
      </c>
      <c r="I125" s="107" t="s">
        <v>175</v>
      </c>
      <c r="J125" s="107" t="s">
        <v>175</v>
      </c>
      <c r="K125" s="107" t="s">
        <v>175</v>
      </c>
      <c r="L125" s="107" t="s">
        <v>768</v>
      </c>
      <c r="M125" s="107"/>
    </row>
    <row r="126" spans="1:13" ht="15" x14ac:dyDescent="0.35">
      <c r="A126" s="118" t="s">
        <v>393</v>
      </c>
      <c r="B126" s="107" t="s">
        <v>391</v>
      </c>
      <c r="C126" s="107" t="s">
        <v>391</v>
      </c>
      <c r="D126" s="107" t="s">
        <v>391</v>
      </c>
      <c r="E126" s="107" t="s">
        <v>984</v>
      </c>
      <c r="F126" s="107" t="s">
        <v>391</v>
      </c>
      <c r="G126" s="132" t="s">
        <v>1080</v>
      </c>
      <c r="H126" s="107" t="s">
        <v>1086</v>
      </c>
      <c r="I126" s="107" t="s">
        <v>391</v>
      </c>
      <c r="J126" s="107" t="s">
        <v>391</v>
      </c>
      <c r="K126" s="107" t="s">
        <v>391</v>
      </c>
      <c r="L126" s="107" t="s">
        <v>768</v>
      </c>
      <c r="M126" s="107"/>
    </row>
    <row r="127" spans="1:13" ht="15" x14ac:dyDescent="0.35">
      <c r="A127" s="118" t="s">
        <v>300</v>
      </c>
      <c r="B127" s="107" t="s">
        <v>177</v>
      </c>
      <c r="C127" s="107" t="s">
        <v>177</v>
      </c>
      <c r="D127" s="107" t="s">
        <v>177</v>
      </c>
      <c r="E127" t="s">
        <v>985</v>
      </c>
      <c r="F127" s="107" t="s">
        <v>177</v>
      </c>
      <c r="G127" s="131" t="s">
        <v>1081</v>
      </c>
      <c r="H127" s="107" t="s">
        <v>641</v>
      </c>
      <c r="I127" s="107" t="s">
        <v>177</v>
      </c>
      <c r="J127" s="107" t="s">
        <v>177</v>
      </c>
      <c r="K127" s="107" t="s">
        <v>177</v>
      </c>
      <c r="L127" s="107" t="s">
        <v>769</v>
      </c>
      <c r="M127" s="107"/>
    </row>
    <row r="128" spans="1:13" ht="15" x14ac:dyDescent="0.35">
      <c r="A128" s="118" t="s">
        <v>394</v>
      </c>
      <c r="B128" s="107" t="s">
        <v>392</v>
      </c>
      <c r="C128" s="107" t="s">
        <v>392</v>
      </c>
      <c r="D128" s="107" t="s">
        <v>392</v>
      </c>
      <c r="E128" t="s">
        <v>985</v>
      </c>
      <c r="F128" s="107" t="s">
        <v>392</v>
      </c>
      <c r="G128" s="131" t="s">
        <v>1081</v>
      </c>
      <c r="H128" s="107" t="s">
        <v>641</v>
      </c>
      <c r="I128" s="107" t="s">
        <v>392</v>
      </c>
      <c r="J128" s="107" t="s">
        <v>392</v>
      </c>
      <c r="K128" s="107" t="s">
        <v>392</v>
      </c>
      <c r="L128" s="107" t="s">
        <v>769</v>
      </c>
      <c r="M128" s="107"/>
    </row>
    <row r="129" spans="1:13" x14ac:dyDescent="0.35">
      <c r="A129" s="118" t="s">
        <v>301</v>
      </c>
      <c r="B129" s="107" t="s">
        <v>96</v>
      </c>
      <c r="C129" s="107" t="s">
        <v>96</v>
      </c>
      <c r="D129" s="107" t="s">
        <v>96</v>
      </c>
      <c r="E129" s="107" t="s">
        <v>1215</v>
      </c>
      <c r="F129" s="107" t="s">
        <v>96</v>
      </c>
      <c r="G129" s="107" t="s">
        <v>986</v>
      </c>
      <c r="H129" s="107" t="s">
        <v>560</v>
      </c>
      <c r="I129" s="107" t="s">
        <v>96</v>
      </c>
      <c r="J129" s="107" t="s">
        <v>96</v>
      </c>
      <c r="K129" s="107" t="s">
        <v>96</v>
      </c>
      <c r="L129" s="107" t="s">
        <v>770</v>
      </c>
      <c r="M129" s="107"/>
    </row>
    <row r="130" spans="1:13" ht="43.5" x14ac:dyDescent="0.35">
      <c r="A130" s="118" t="s">
        <v>302</v>
      </c>
      <c r="B130" s="107" t="s">
        <v>144</v>
      </c>
      <c r="C130" s="107" t="s">
        <v>144</v>
      </c>
      <c r="D130" s="107" t="s">
        <v>144</v>
      </c>
      <c r="E130" s="107" t="s">
        <v>1216</v>
      </c>
      <c r="F130" s="107" t="s">
        <v>144</v>
      </c>
      <c r="G130" s="107" t="s">
        <v>987</v>
      </c>
      <c r="H130" s="107" t="s">
        <v>561</v>
      </c>
      <c r="I130" s="107" t="s">
        <v>144</v>
      </c>
      <c r="J130" s="107" t="s">
        <v>144</v>
      </c>
      <c r="K130" s="107" t="s">
        <v>144</v>
      </c>
      <c r="L130" s="107" t="s">
        <v>771</v>
      </c>
      <c r="M130" s="107"/>
    </row>
    <row r="131" spans="1:13" ht="15" x14ac:dyDescent="0.35">
      <c r="A131" s="118" t="s">
        <v>395</v>
      </c>
      <c r="B131" s="107" t="s">
        <v>390</v>
      </c>
      <c r="C131" s="107" t="s">
        <v>390</v>
      </c>
      <c r="D131" s="107" t="s">
        <v>390</v>
      </c>
      <c r="E131" s="107" t="s">
        <v>988</v>
      </c>
      <c r="F131" s="107" t="s">
        <v>390</v>
      </c>
      <c r="G131" s="131" t="s">
        <v>989</v>
      </c>
      <c r="H131" s="107" t="s">
        <v>642</v>
      </c>
      <c r="I131" s="107" t="s">
        <v>390</v>
      </c>
      <c r="J131" s="107" t="s">
        <v>390</v>
      </c>
      <c r="K131" s="107" t="s">
        <v>390</v>
      </c>
      <c r="L131" s="107" t="s">
        <v>772</v>
      </c>
      <c r="M131" s="107"/>
    </row>
    <row r="132" spans="1:13" x14ac:dyDescent="0.35">
      <c r="A132" s="118" t="s">
        <v>396</v>
      </c>
      <c r="B132" s="107" t="s">
        <v>389</v>
      </c>
      <c r="C132" s="107" t="s">
        <v>389</v>
      </c>
      <c r="D132" s="107" t="s">
        <v>389</v>
      </c>
      <c r="E132" s="107" t="s">
        <v>990</v>
      </c>
      <c r="F132" s="107" t="s">
        <v>389</v>
      </c>
      <c r="G132" s="107" t="s">
        <v>991</v>
      </c>
      <c r="H132" s="107" t="s">
        <v>643</v>
      </c>
      <c r="I132" s="107" t="s">
        <v>389</v>
      </c>
      <c r="J132" s="107" t="s">
        <v>389</v>
      </c>
      <c r="K132" s="107" t="s">
        <v>389</v>
      </c>
      <c r="L132" s="107" t="s">
        <v>773</v>
      </c>
      <c r="M132" s="107"/>
    </row>
    <row r="133" spans="1:13" x14ac:dyDescent="0.35">
      <c r="A133" s="118" t="s">
        <v>406</v>
      </c>
      <c r="B133" s="107" t="s">
        <v>405</v>
      </c>
      <c r="C133" s="107" t="s">
        <v>405</v>
      </c>
      <c r="D133" s="107" t="s">
        <v>405</v>
      </c>
      <c r="E133" s="107" t="s">
        <v>992</v>
      </c>
      <c r="F133" s="107" t="s">
        <v>405</v>
      </c>
      <c r="G133" s="107" t="s">
        <v>562</v>
      </c>
      <c r="H133" s="107" t="s">
        <v>562</v>
      </c>
      <c r="I133" s="107" t="s">
        <v>405</v>
      </c>
      <c r="J133" s="107" t="s">
        <v>405</v>
      </c>
      <c r="K133" s="107" t="s">
        <v>405</v>
      </c>
      <c r="L133" s="107" t="s">
        <v>774</v>
      </c>
      <c r="M133" s="107"/>
    </row>
    <row r="134" spans="1:13" x14ac:dyDescent="0.35">
      <c r="A134" s="118" t="s">
        <v>401</v>
      </c>
      <c r="B134" s="107" t="s">
        <v>401</v>
      </c>
      <c r="C134" s="107" t="s">
        <v>401</v>
      </c>
      <c r="D134" s="107" t="s">
        <v>401</v>
      </c>
      <c r="E134" s="107" t="s">
        <v>993</v>
      </c>
      <c r="F134" s="107" t="s">
        <v>401</v>
      </c>
      <c r="G134" s="107" t="s">
        <v>645</v>
      </c>
      <c r="H134" s="107" t="s">
        <v>645</v>
      </c>
      <c r="I134" s="107" t="s">
        <v>401</v>
      </c>
      <c r="J134" s="107" t="s">
        <v>401</v>
      </c>
      <c r="K134" s="107" t="s">
        <v>401</v>
      </c>
      <c r="L134" s="107" t="s">
        <v>775</v>
      </c>
      <c r="M134" s="107"/>
    </row>
    <row r="135" spans="1:13" ht="43.5" x14ac:dyDescent="0.35">
      <c r="A135" s="118" t="s">
        <v>303</v>
      </c>
      <c r="B135" s="107" t="s">
        <v>430</v>
      </c>
      <c r="C135" s="107" t="s">
        <v>430</v>
      </c>
      <c r="D135" s="107" t="s">
        <v>430</v>
      </c>
      <c r="E135" s="107" t="s">
        <v>1217</v>
      </c>
      <c r="F135" s="107" t="s">
        <v>430</v>
      </c>
      <c r="G135" s="107" t="s">
        <v>994</v>
      </c>
      <c r="H135" s="107" t="s">
        <v>564</v>
      </c>
      <c r="I135" s="107" t="s">
        <v>430</v>
      </c>
      <c r="J135" s="107" t="s">
        <v>430</v>
      </c>
      <c r="K135" s="107" t="s">
        <v>430</v>
      </c>
      <c r="L135" s="107" t="s">
        <v>776</v>
      </c>
      <c r="M135" s="107"/>
    </row>
    <row r="136" spans="1:13" x14ac:dyDescent="0.35">
      <c r="A136" s="118" t="s">
        <v>304</v>
      </c>
      <c r="B136" s="107" t="s">
        <v>146</v>
      </c>
      <c r="C136" s="107" t="s">
        <v>146</v>
      </c>
      <c r="D136" s="107" t="s">
        <v>146</v>
      </c>
      <c r="E136" s="107" t="s">
        <v>1218</v>
      </c>
      <c r="F136" s="107" t="s">
        <v>146</v>
      </c>
      <c r="G136" s="107" t="s">
        <v>995</v>
      </c>
      <c r="H136" s="107" t="s">
        <v>565</v>
      </c>
      <c r="I136" s="107" t="s">
        <v>146</v>
      </c>
      <c r="J136" s="107" t="s">
        <v>146</v>
      </c>
      <c r="K136" s="107" t="s">
        <v>146</v>
      </c>
      <c r="L136" s="107" t="s">
        <v>777</v>
      </c>
      <c r="M136" s="107"/>
    </row>
    <row r="137" spans="1:13" ht="29" x14ac:dyDescent="0.35">
      <c r="A137" s="118" t="s">
        <v>305</v>
      </c>
      <c r="B137" s="107" t="s">
        <v>152</v>
      </c>
      <c r="C137" s="107" t="s">
        <v>152</v>
      </c>
      <c r="D137" s="107" t="s">
        <v>152</v>
      </c>
      <c r="E137" s="107" t="s">
        <v>1219</v>
      </c>
      <c r="F137" s="107" t="s">
        <v>152</v>
      </c>
      <c r="G137" s="107" t="s">
        <v>936</v>
      </c>
      <c r="H137" s="107" t="s">
        <v>566</v>
      </c>
      <c r="I137" s="107" t="s">
        <v>152</v>
      </c>
      <c r="J137" s="107" t="s">
        <v>152</v>
      </c>
      <c r="K137" s="107" t="s">
        <v>152</v>
      </c>
      <c r="L137" s="107" t="s">
        <v>778</v>
      </c>
      <c r="M137" s="107"/>
    </row>
    <row r="138" spans="1:13" ht="29" x14ac:dyDescent="0.35">
      <c r="A138" s="118" t="s">
        <v>306</v>
      </c>
      <c r="B138" s="107" t="s">
        <v>158</v>
      </c>
      <c r="C138" s="107" t="s">
        <v>158</v>
      </c>
      <c r="D138" s="107" t="s">
        <v>158</v>
      </c>
      <c r="E138" s="107" t="s">
        <v>1220</v>
      </c>
      <c r="F138" s="107" t="s">
        <v>158</v>
      </c>
      <c r="G138" s="107" t="s">
        <v>996</v>
      </c>
      <c r="H138" s="107" t="s">
        <v>567</v>
      </c>
      <c r="I138" s="107" t="s">
        <v>158</v>
      </c>
      <c r="J138" s="107" t="s">
        <v>158</v>
      </c>
      <c r="K138" s="107" t="s">
        <v>158</v>
      </c>
      <c r="L138" s="107" t="s">
        <v>779</v>
      </c>
      <c r="M138" s="107"/>
    </row>
    <row r="139" spans="1:13" ht="409.5" x14ac:dyDescent="0.35">
      <c r="A139" s="118" t="s">
        <v>307</v>
      </c>
      <c r="B139" s="107" t="s">
        <v>159</v>
      </c>
      <c r="C139" s="107" t="s">
        <v>159</v>
      </c>
      <c r="D139" s="107" t="s">
        <v>159</v>
      </c>
      <c r="E139" s="107" t="s">
        <v>1221</v>
      </c>
      <c r="F139" s="107" t="s">
        <v>159</v>
      </c>
      <c r="G139" s="107" t="s">
        <v>997</v>
      </c>
      <c r="H139" s="107" t="s">
        <v>568</v>
      </c>
      <c r="I139" s="107" t="s">
        <v>159</v>
      </c>
      <c r="J139" s="107" t="s">
        <v>159</v>
      </c>
      <c r="K139" s="107" t="s">
        <v>159</v>
      </c>
      <c r="L139" s="107" t="s">
        <v>780</v>
      </c>
      <c r="M139" s="107"/>
    </row>
    <row r="140" spans="1:13" x14ac:dyDescent="0.35">
      <c r="A140" s="118" t="s">
        <v>174</v>
      </c>
      <c r="B140" s="107" t="s">
        <v>174</v>
      </c>
      <c r="C140" s="107" t="s">
        <v>174</v>
      </c>
      <c r="D140" s="107" t="s">
        <v>174</v>
      </c>
      <c r="E140" s="107" t="s">
        <v>998</v>
      </c>
      <c r="F140" s="107" t="s">
        <v>174</v>
      </c>
      <c r="G140" s="107" t="s">
        <v>569</v>
      </c>
      <c r="H140" s="107" t="s">
        <v>569</v>
      </c>
      <c r="I140" s="107" t="s">
        <v>174</v>
      </c>
      <c r="J140" s="107" t="s">
        <v>174</v>
      </c>
      <c r="K140" s="107" t="s">
        <v>174</v>
      </c>
      <c r="L140" s="107" t="s">
        <v>781</v>
      </c>
      <c r="M140" s="107"/>
    </row>
    <row r="141" spans="1:13" x14ac:dyDescent="0.35">
      <c r="A141" s="118" t="s">
        <v>308</v>
      </c>
      <c r="B141" s="107" t="s">
        <v>95</v>
      </c>
      <c r="C141" s="107" t="s">
        <v>95</v>
      </c>
      <c r="D141" s="107" t="s">
        <v>95</v>
      </c>
      <c r="E141" s="107" t="s">
        <v>1222</v>
      </c>
      <c r="F141" s="107" t="s">
        <v>95</v>
      </c>
      <c r="G141" s="107" t="s">
        <v>999</v>
      </c>
      <c r="H141" s="107" t="s">
        <v>570</v>
      </c>
      <c r="I141" s="107" t="s">
        <v>95</v>
      </c>
      <c r="J141" s="107" t="s">
        <v>95</v>
      </c>
      <c r="K141" s="107" t="s">
        <v>95</v>
      </c>
      <c r="L141" s="107" t="s">
        <v>782</v>
      </c>
      <c r="M141" s="107"/>
    </row>
    <row r="142" spans="1:13" x14ac:dyDescent="0.35">
      <c r="A142" s="118" t="s">
        <v>54</v>
      </c>
      <c r="B142" s="107" t="s">
        <v>54</v>
      </c>
      <c r="C142" s="107" t="s">
        <v>54</v>
      </c>
      <c r="D142" s="107" t="s">
        <v>54</v>
      </c>
      <c r="E142" s="107" t="s">
        <v>1000</v>
      </c>
      <c r="F142" s="107" t="s">
        <v>54</v>
      </c>
      <c r="G142" s="107" t="s">
        <v>1001</v>
      </c>
      <c r="H142" s="107" t="s">
        <v>571</v>
      </c>
      <c r="I142" s="107" t="s">
        <v>54</v>
      </c>
      <c r="J142" s="107" t="s">
        <v>54</v>
      </c>
      <c r="K142" s="107" t="s">
        <v>54</v>
      </c>
      <c r="L142" s="107" t="s">
        <v>783</v>
      </c>
      <c r="M142" s="107"/>
    </row>
    <row r="143" spans="1:13" x14ac:dyDescent="0.35">
      <c r="A143" s="118" t="s">
        <v>309</v>
      </c>
      <c r="B143" s="107" t="s">
        <v>6</v>
      </c>
      <c r="C143" s="107" t="s">
        <v>6</v>
      </c>
      <c r="D143" s="107" t="s">
        <v>6</v>
      </c>
      <c r="E143" s="107" t="s">
        <v>1223</v>
      </c>
      <c r="F143" s="107" t="s">
        <v>6</v>
      </c>
      <c r="G143" s="107" t="s">
        <v>1002</v>
      </c>
      <c r="H143" s="107" t="s">
        <v>572</v>
      </c>
      <c r="I143" s="107" t="s">
        <v>6</v>
      </c>
      <c r="J143" s="107" t="s">
        <v>6</v>
      </c>
      <c r="K143" s="107" t="s">
        <v>6</v>
      </c>
      <c r="L143" s="107" t="s">
        <v>784</v>
      </c>
      <c r="M143" s="107"/>
    </row>
    <row r="144" spans="1:13" x14ac:dyDescent="0.35">
      <c r="A144" s="118" t="s">
        <v>179</v>
      </c>
      <c r="B144" s="107" t="s">
        <v>179</v>
      </c>
      <c r="C144" s="107" t="s">
        <v>179</v>
      </c>
      <c r="D144" s="107" t="s">
        <v>179</v>
      </c>
      <c r="E144" s="107" t="s">
        <v>179</v>
      </c>
      <c r="F144" s="107" t="s">
        <v>179</v>
      </c>
      <c r="G144" s="107" t="s">
        <v>179</v>
      </c>
      <c r="H144" s="107" t="s">
        <v>179</v>
      </c>
      <c r="I144" s="107" t="s">
        <v>179</v>
      </c>
      <c r="J144" s="107" t="s">
        <v>179</v>
      </c>
      <c r="K144" s="107" t="s">
        <v>179</v>
      </c>
      <c r="L144" s="107" t="s">
        <v>785</v>
      </c>
      <c r="M144" s="107"/>
    </row>
    <row r="145" spans="1:13" ht="29" x14ac:dyDescent="0.35">
      <c r="A145" s="118" t="s">
        <v>310</v>
      </c>
      <c r="B145" s="107" t="s">
        <v>121</v>
      </c>
      <c r="C145" s="107" t="s">
        <v>121</v>
      </c>
      <c r="D145" s="107" t="s">
        <v>121</v>
      </c>
      <c r="E145" s="107" t="s">
        <v>1224</v>
      </c>
      <c r="F145" s="107" t="s">
        <v>121</v>
      </c>
      <c r="G145" s="107" t="s">
        <v>1003</v>
      </c>
      <c r="H145" s="107" t="s">
        <v>573</v>
      </c>
      <c r="I145" s="107" t="s">
        <v>121</v>
      </c>
      <c r="J145" s="107" t="s">
        <v>121</v>
      </c>
      <c r="K145" s="107" t="s">
        <v>121</v>
      </c>
      <c r="L145" s="107" t="s">
        <v>786</v>
      </c>
      <c r="M145" s="107"/>
    </row>
    <row r="146" spans="1:13" ht="29" x14ac:dyDescent="0.35">
      <c r="A146" s="118" t="s">
        <v>311</v>
      </c>
      <c r="B146" s="107" t="s">
        <v>97</v>
      </c>
      <c r="C146" s="107" t="s">
        <v>97</v>
      </c>
      <c r="D146" s="107" t="s">
        <v>97</v>
      </c>
      <c r="E146" s="107" t="s">
        <v>1225</v>
      </c>
      <c r="F146" s="107" t="s">
        <v>97</v>
      </c>
      <c r="G146" s="107" t="s">
        <v>1004</v>
      </c>
      <c r="H146" s="107" t="s">
        <v>574</v>
      </c>
      <c r="I146" s="107" t="s">
        <v>97</v>
      </c>
      <c r="J146" s="107" t="s">
        <v>97</v>
      </c>
      <c r="K146" s="107" t="s">
        <v>97</v>
      </c>
      <c r="L146" s="107" t="s">
        <v>787</v>
      </c>
      <c r="M146" s="107"/>
    </row>
    <row r="147" spans="1:13" ht="29" x14ac:dyDescent="0.35">
      <c r="A147" s="118" t="s">
        <v>312</v>
      </c>
      <c r="B147" s="107" t="s">
        <v>20</v>
      </c>
      <c r="C147" s="107" t="s">
        <v>20</v>
      </c>
      <c r="D147" s="107" t="s">
        <v>20</v>
      </c>
      <c r="E147" s="107" t="s">
        <v>1226</v>
      </c>
      <c r="F147" s="107" t="s">
        <v>20</v>
      </c>
      <c r="G147" s="107" t="s">
        <v>1005</v>
      </c>
      <c r="H147" s="107" t="s">
        <v>575</v>
      </c>
      <c r="I147" s="107" t="s">
        <v>20</v>
      </c>
      <c r="J147" s="107" t="s">
        <v>20</v>
      </c>
      <c r="K147" s="107" t="s">
        <v>20</v>
      </c>
      <c r="L147" s="107" t="s">
        <v>788</v>
      </c>
      <c r="M147" s="107"/>
    </row>
    <row r="148" spans="1:13" x14ac:dyDescent="0.35">
      <c r="A148" s="118" t="s">
        <v>313</v>
      </c>
      <c r="B148" s="107" t="s">
        <v>119</v>
      </c>
      <c r="C148" s="107" t="s">
        <v>119</v>
      </c>
      <c r="D148" s="107" t="s">
        <v>119</v>
      </c>
      <c r="E148" s="107" t="s">
        <v>1227</v>
      </c>
      <c r="F148" s="107" t="s">
        <v>119</v>
      </c>
      <c r="G148" s="107" t="s">
        <v>1006</v>
      </c>
      <c r="H148" s="107" t="s">
        <v>576</v>
      </c>
      <c r="I148" s="107" t="s">
        <v>119</v>
      </c>
      <c r="J148" s="107" t="s">
        <v>119</v>
      </c>
      <c r="K148" s="107" t="s">
        <v>119</v>
      </c>
      <c r="L148" s="107" t="s">
        <v>789</v>
      </c>
      <c r="M148" s="107"/>
    </row>
    <row r="149" spans="1:13" x14ac:dyDescent="0.35">
      <c r="A149" s="118" t="s">
        <v>314</v>
      </c>
      <c r="B149" s="107" t="s">
        <v>122</v>
      </c>
      <c r="C149" s="107" t="s">
        <v>122</v>
      </c>
      <c r="D149" s="107" t="s">
        <v>122</v>
      </c>
      <c r="E149" s="107" t="s">
        <v>1228</v>
      </c>
      <c r="F149" s="107" t="s">
        <v>122</v>
      </c>
      <c r="G149" s="107" t="s">
        <v>1007</v>
      </c>
      <c r="H149" s="107" t="s">
        <v>577</v>
      </c>
      <c r="I149" s="107" t="s">
        <v>122</v>
      </c>
      <c r="J149" s="107" t="s">
        <v>122</v>
      </c>
      <c r="K149" s="107" t="s">
        <v>122</v>
      </c>
      <c r="L149" s="107" t="s">
        <v>790</v>
      </c>
      <c r="M149" s="107"/>
    </row>
    <row r="150" spans="1:13" x14ac:dyDescent="0.35">
      <c r="A150" s="118" t="s">
        <v>404</v>
      </c>
      <c r="B150" s="107" t="s">
        <v>404</v>
      </c>
      <c r="C150" s="107" t="s">
        <v>404</v>
      </c>
      <c r="D150" s="107" t="s">
        <v>404</v>
      </c>
      <c r="E150" s="107" t="s">
        <v>1008</v>
      </c>
      <c r="F150" s="107" t="s">
        <v>404</v>
      </c>
      <c r="G150" s="107" t="s">
        <v>578</v>
      </c>
      <c r="H150" s="107" t="s">
        <v>578</v>
      </c>
      <c r="I150" s="107" t="s">
        <v>404</v>
      </c>
      <c r="J150" s="107" t="s">
        <v>404</v>
      </c>
      <c r="K150" s="107" t="s">
        <v>404</v>
      </c>
      <c r="L150" s="107" t="s">
        <v>791</v>
      </c>
      <c r="M150" s="107"/>
    </row>
    <row r="151" spans="1:13" ht="29" x14ac:dyDescent="0.35">
      <c r="A151" s="118" t="s">
        <v>315</v>
      </c>
      <c r="B151" s="107" t="s">
        <v>106</v>
      </c>
      <c r="C151" s="107" t="s">
        <v>106</v>
      </c>
      <c r="D151" s="107" t="s">
        <v>106</v>
      </c>
      <c r="E151" s="107" t="s">
        <v>1229</v>
      </c>
      <c r="F151" s="107" t="s">
        <v>106</v>
      </c>
      <c r="G151" s="107" t="s">
        <v>1009</v>
      </c>
      <c r="H151" s="107" t="s">
        <v>579</v>
      </c>
      <c r="I151" s="107" t="s">
        <v>106</v>
      </c>
      <c r="J151" s="107" t="s">
        <v>106</v>
      </c>
      <c r="K151" s="107" t="s">
        <v>106</v>
      </c>
      <c r="L151" s="107" t="s">
        <v>792</v>
      </c>
      <c r="M151" s="107"/>
    </row>
    <row r="152" spans="1:13" ht="29" x14ac:dyDescent="0.35">
      <c r="A152" s="118" t="s">
        <v>316</v>
      </c>
      <c r="B152" s="107" t="s">
        <v>71</v>
      </c>
      <c r="C152" s="107" t="s">
        <v>71</v>
      </c>
      <c r="D152" s="107" t="s">
        <v>71</v>
      </c>
      <c r="E152" s="107" t="s">
        <v>1230</v>
      </c>
      <c r="F152" s="107" t="s">
        <v>71</v>
      </c>
      <c r="G152" s="107" t="s">
        <v>1010</v>
      </c>
      <c r="H152" s="107" t="s">
        <v>580</v>
      </c>
      <c r="I152" s="107" t="s">
        <v>71</v>
      </c>
      <c r="J152" s="107" t="s">
        <v>71</v>
      </c>
      <c r="K152" s="107" t="s">
        <v>71</v>
      </c>
      <c r="L152" s="107" t="s">
        <v>793</v>
      </c>
      <c r="M152" s="107"/>
    </row>
    <row r="153" spans="1:13" ht="29" x14ac:dyDescent="0.35">
      <c r="A153" s="118" t="s">
        <v>317</v>
      </c>
      <c r="B153" s="107" t="s">
        <v>72</v>
      </c>
      <c r="C153" s="107" t="s">
        <v>72</v>
      </c>
      <c r="D153" s="107" t="s">
        <v>72</v>
      </c>
      <c r="E153" s="107" t="s">
        <v>1231</v>
      </c>
      <c r="F153" s="107" t="s">
        <v>72</v>
      </c>
      <c r="G153" s="107" t="s">
        <v>1011</v>
      </c>
      <c r="H153" s="107" t="s">
        <v>581</v>
      </c>
      <c r="I153" s="107" t="s">
        <v>72</v>
      </c>
      <c r="J153" s="107" t="s">
        <v>72</v>
      </c>
      <c r="K153" s="107" t="s">
        <v>72</v>
      </c>
      <c r="L153" s="107" t="s">
        <v>794</v>
      </c>
      <c r="M153" s="107"/>
    </row>
    <row r="154" spans="1:13" x14ac:dyDescent="0.35">
      <c r="A154" s="118" t="s">
        <v>318</v>
      </c>
      <c r="B154" s="107" t="s">
        <v>49</v>
      </c>
      <c r="C154" s="107" t="s">
        <v>49</v>
      </c>
      <c r="D154" s="107" t="s">
        <v>49</v>
      </c>
      <c r="E154" s="107" t="s">
        <v>1232</v>
      </c>
      <c r="F154" s="107" t="s">
        <v>49</v>
      </c>
      <c r="G154" s="107" t="s">
        <v>1012</v>
      </c>
      <c r="H154" s="107" t="s">
        <v>582</v>
      </c>
      <c r="I154" s="107" t="s">
        <v>49</v>
      </c>
      <c r="J154" s="107" t="s">
        <v>49</v>
      </c>
      <c r="K154" s="107" t="s">
        <v>49</v>
      </c>
      <c r="L154" s="107" t="s">
        <v>795</v>
      </c>
      <c r="M154" s="107"/>
    </row>
    <row r="155" spans="1:13" x14ac:dyDescent="0.35">
      <c r="A155" s="118" t="s">
        <v>319</v>
      </c>
      <c r="B155" s="107" t="s">
        <v>50</v>
      </c>
      <c r="C155" s="107" t="s">
        <v>50</v>
      </c>
      <c r="D155" s="107" t="s">
        <v>50</v>
      </c>
      <c r="E155" s="107" t="s">
        <v>1233</v>
      </c>
      <c r="F155" s="107" t="s">
        <v>50</v>
      </c>
      <c r="G155" s="107" t="s">
        <v>1013</v>
      </c>
      <c r="H155" s="107" t="s">
        <v>583</v>
      </c>
      <c r="I155" s="107" t="s">
        <v>50</v>
      </c>
      <c r="J155" s="107" t="s">
        <v>50</v>
      </c>
      <c r="K155" s="107" t="s">
        <v>50</v>
      </c>
      <c r="L155" s="107" t="s">
        <v>796</v>
      </c>
      <c r="M155" s="107"/>
    </row>
    <row r="156" spans="1:13" x14ac:dyDescent="0.35">
      <c r="A156" s="118" t="s">
        <v>402</v>
      </c>
      <c r="B156" s="107" t="s">
        <v>402</v>
      </c>
      <c r="C156" s="107" t="s">
        <v>402</v>
      </c>
      <c r="D156" s="107" t="s">
        <v>402</v>
      </c>
      <c r="E156" t="s">
        <v>1014</v>
      </c>
      <c r="F156" s="107" t="s">
        <v>402</v>
      </c>
      <c r="G156" s="107" t="s">
        <v>1015</v>
      </c>
      <c r="H156" s="107" t="s">
        <v>584</v>
      </c>
      <c r="I156" s="107" t="s">
        <v>402</v>
      </c>
      <c r="J156" s="107" t="s">
        <v>402</v>
      </c>
      <c r="K156" s="107" t="s">
        <v>402</v>
      </c>
      <c r="L156" s="107" t="s">
        <v>797</v>
      </c>
      <c r="M156" s="107"/>
    </row>
    <row r="157" spans="1:13" x14ac:dyDescent="0.35">
      <c r="A157" s="118" t="s">
        <v>320</v>
      </c>
      <c r="B157" s="107" t="s">
        <v>112</v>
      </c>
      <c r="C157" s="107" t="s">
        <v>112</v>
      </c>
      <c r="D157" s="107" t="s">
        <v>112</v>
      </c>
      <c r="E157" s="107" t="s">
        <v>1234</v>
      </c>
      <c r="F157" s="107" t="s">
        <v>112</v>
      </c>
      <c r="G157" s="107" t="s">
        <v>1016</v>
      </c>
      <c r="H157" s="107" t="s">
        <v>585</v>
      </c>
      <c r="I157" s="107" t="s">
        <v>112</v>
      </c>
      <c r="J157" s="107" t="s">
        <v>112</v>
      </c>
      <c r="K157" s="107" t="s">
        <v>112</v>
      </c>
      <c r="L157" s="107" t="s">
        <v>798</v>
      </c>
      <c r="M157" s="107"/>
    </row>
    <row r="158" spans="1:13" ht="29" x14ac:dyDescent="0.35">
      <c r="A158" s="118" t="s">
        <v>321</v>
      </c>
      <c r="B158" s="107" t="s">
        <v>21</v>
      </c>
      <c r="C158" s="107" t="s">
        <v>21</v>
      </c>
      <c r="D158" s="107" t="s">
        <v>21</v>
      </c>
      <c r="E158" s="107" t="s">
        <v>1235</v>
      </c>
      <c r="F158" s="107" t="s">
        <v>21</v>
      </c>
      <c r="G158" s="107" t="s">
        <v>1017</v>
      </c>
      <c r="H158" s="107" t="s">
        <v>586</v>
      </c>
      <c r="I158" s="107" t="s">
        <v>21</v>
      </c>
      <c r="J158" s="107" t="s">
        <v>21</v>
      </c>
      <c r="K158" s="107" t="s">
        <v>21</v>
      </c>
      <c r="L158" s="107" t="s">
        <v>799</v>
      </c>
      <c r="M158" s="107"/>
    </row>
    <row r="159" spans="1:13" ht="29" x14ac:dyDescent="0.35">
      <c r="A159" s="118" t="s">
        <v>322</v>
      </c>
      <c r="B159" s="107" t="s">
        <v>77</v>
      </c>
      <c r="C159" s="107" t="s">
        <v>77</v>
      </c>
      <c r="D159" s="107" t="s">
        <v>77</v>
      </c>
      <c r="E159" s="107" t="s">
        <v>1236</v>
      </c>
      <c r="F159" s="107" t="s">
        <v>77</v>
      </c>
      <c r="G159" s="107" t="s">
        <v>1018</v>
      </c>
      <c r="H159" s="107" t="s">
        <v>587</v>
      </c>
      <c r="I159" s="107" t="s">
        <v>77</v>
      </c>
      <c r="J159" s="107" t="s">
        <v>77</v>
      </c>
      <c r="K159" s="107" t="s">
        <v>77</v>
      </c>
      <c r="L159" s="107" t="s">
        <v>800</v>
      </c>
      <c r="M159" s="107"/>
    </row>
    <row r="160" spans="1:13" ht="43.5" x14ac:dyDescent="0.35">
      <c r="A160" s="118" t="s">
        <v>323</v>
      </c>
      <c r="B160" s="107" t="s">
        <v>68</v>
      </c>
      <c r="C160" s="107" t="s">
        <v>68</v>
      </c>
      <c r="D160" s="107" t="s">
        <v>68</v>
      </c>
      <c r="E160" s="107" t="s">
        <v>1237</v>
      </c>
      <c r="F160" s="107" t="s">
        <v>68</v>
      </c>
      <c r="G160" s="107" t="s">
        <v>1019</v>
      </c>
      <c r="H160" s="107" t="s">
        <v>588</v>
      </c>
      <c r="I160" s="107" t="s">
        <v>68</v>
      </c>
      <c r="J160" s="107" t="s">
        <v>68</v>
      </c>
      <c r="K160" s="107" t="s">
        <v>68</v>
      </c>
      <c r="L160" s="107" t="s">
        <v>801</v>
      </c>
      <c r="M160" s="107"/>
    </row>
    <row r="161" spans="1:13" x14ac:dyDescent="0.35">
      <c r="A161" s="118" t="s">
        <v>324</v>
      </c>
      <c r="B161" s="107" t="s">
        <v>133</v>
      </c>
      <c r="C161" s="107" t="s">
        <v>133</v>
      </c>
      <c r="D161" s="107" t="s">
        <v>133</v>
      </c>
      <c r="E161" s="107" t="s">
        <v>1238</v>
      </c>
      <c r="F161" s="107" t="s">
        <v>133</v>
      </c>
      <c r="G161" s="107" t="s">
        <v>1020</v>
      </c>
      <c r="H161" s="107" t="s">
        <v>589</v>
      </c>
      <c r="I161" s="107" t="s">
        <v>133</v>
      </c>
      <c r="J161" s="107" t="s">
        <v>133</v>
      </c>
      <c r="K161" s="107" t="s">
        <v>133</v>
      </c>
      <c r="L161" s="107" t="s">
        <v>802</v>
      </c>
      <c r="M161" s="107"/>
    </row>
    <row r="162" spans="1:13" x14ac:dyDescent="0.35">
      <c r="A162" s="118" t="s">
        <v>325</v>
      </c>
      <c r="B162" s="107" t="s">
        <v>64</v>
      </c>
      <c r="C162" s="107" t="s">
        <v>64</v>
      </c>
      <c r="D162" s="107" t="s">
        <v>64</v>
      </c>
      <c r="E162" s="107" t="s">
        <v>1239</v>
      </c>
      <c r="F162" s="107" t="s">
        <v>64</v>
      </c>
      <c r="G162" s="107" t="s">
        <v>1021</v>
      </c>
      <c r="H162" s="107" t="s">
        <v>590</v>
      </c>
      <c r="I162" s="107" t="s">
        <v>64</v>
      </c>
      <c r="J162" s="107" t="s">
        <v>64</v>
      </c>
      <c r="K162" s="107" t="s">
        <v>64</v>
      </c>
      <c r="L162" s="107" t="s">
        <v>803</v>
      </c>
      <c r="M162" s="107"/>
    </row>
    <row r="163" spans="1:13" x14ac:dyDescent="0.35">
      <c r="A163" s="118" t="s">
        <v>326</v>
      </c>
      <c r="B163" s="107" t="s">
        <v>8</v>
      </c>
      <c r="C163" s="107" t="s">
        <v>8</v>
      </c>
      <c r="D163" s="107" t="s">
        <v>8</v>
      </c>
      <c r="E163" s="107" t="s">
        <v>1240</v>
      </c>
      <c r="F163" s="107" t="s">
        <v>8</v>
      </c>
      <c r="G163" s="107" t="s">
        <v>1022</v>
      </c>
      <c r="H163" s="107" t="s">
        <v>591</v>
      </c>
      <c r="I163" s="107" t="s">
        <v>8</v>
      </c>
      <c r="J163" s="107" t="s">
        <v>8</v>
      </c>
      <c r="K163" s="107" t="s">
        <v>8</v>
      </c>
      <c r="L163" s="107" t="s">
        <v>804</v>
      </c>
      <c r="M163" s="107"/>
    </row>
    <row r="164" spans="1:13" ht="15" x14ac:dyDescent="0.35">
      <c r="A164" s="118" t="s">
        <v>327</v>
      </c>
      <c r="B164" s="107" t="s">
        <v>87</v>
      </c>
      <c r="C164" s="107" t="s">
        <v>87</v>
      </c>
      <c r="D164" s="107" t="s">
        <v>87</v>
      </c>
      <c r="E164" s="107" t="s">
        <v>1023</v>
      </c>
      <c r="F164" s="107" t="s">
        <v>87</v>
      </c>
      <c r="G164" s="131" t="s">
        <v>1082</v>
      </c>
      <c r="H164" s="107" t="s">
        <v>1087</v>
      </c>
      <c r="I164" s="107" t="s">
        <v>87</v>
      </c>
      <c r="J164" s="107" t="s">
        <v>87</v>
      </c>
      <c r="K164" s="107" t="s">
        <v>87</v>
      </c>
      <c r="L164" s="107" t="s">
        <v>805</v>
      </c>
      <c r="M164" s="107"/>
    </row>
    <row r="165" spans="1:13" ht="29" x14ac:dyDescent="0.35">
      <c r="A165" s="118" t="s">
        <v>328</v>
      </c>
      <c r="B165" s="107" t="s">
        <v>94</v>
      </c>
      <c r="C165" s="107" t="s">
        <v>94</v>
      </c>
      <c r="D165" s="107" t="s">
        <v>94</v>
      </c>
      <c r="E165" s="107" t="s">
        <v>1241</v>
      </c>
      <c r="F165" s="107" t="s">
        <v>94</v>
      </c>
      <c r="G165" s="107" t="s">
        <v>1024</v>
      </c>
      <c r="H165" s="107" t="s">
        <v>592</v>
      </c>
      <c r="I165" s="107" t="s">
        <v>94</v>
      </c>
      <c r="J165" s="107" t="s">
        <v>94</v>
      </c>
      <c r="K165" s="107" t="s">
        <v>94</v>
      </c>
      <c r="L165" s="107" t="s">
        <v>806</v>
      </c>
      <c r="M165" s="107"/>
    </row>
    <row r="166" spans="1:13" x14ac:dyDescent="0.35">
      <c r="A166" s="118" t="s">
        <v>329</v>
      </c>
      <c r="B166" s="107" t="s">
        <v>37</v>
      </c>
      <c r="C166" s="107" t="s">
        <v>37</v>
      </c>
      <c r="D166" s="107" t="s">
        <v>37</v>
      </c>
      <c r="E166" s="107" t="s">
        <v>1242</v>
      </c>
      <c r="F166" s="107" t="s">
        <v>37</v>
      </c>
      <c r="G166" s="107" t="s">
        <v>1025</v>
      </c>
      <c r="H166" s="107" t="s">
        <v>593</v>
      </c>
      <c r="I166" s="107" t="s">
        <v>37</v>
      </c>
      <c r="J166" s="107" t="s">
        <v>37</v>
      </c>
      <c r="K166" s="107" t="s">
        <v>37</v>
      </c>
      <c r="L166" s="107" t="s">
        <v>807</v>
      </c>
      <c r="M166" s="107"/>
    </row>
    <row r="167" spans="1:13" x14ac:dyDescent="0.35">
      <c r="A167" s="118" t="s">
        <v>330</v>
      </c>
      <c r="B167" s="107" t="s">
        <v>76</v>
      </c>
      <c r="C167" s="107" t="s">
        <v>76</v>
      </c>
      <c r="D167" s="107" t="s">
        <v>76</v>
      </c>
      <c r="E167" s="107" t="s">
        <v>1243</v>
      </c>
      <c r="F167" s="107" t="s">
        <v>76</v>
      </c>
      <c r="G167" s="107" t="s">
        <v>1026</v>
      </c>
      <c r="H167" s="107" t="s">
        <v>594</v>
      </c>
      <c r="I167" s="107" t="s">
        <v>76</v>
      </c>
      <c r="J167" s="107" t="s">
        <v>76</v>
      </c>
      <c r="K167" s="107" t="s">
        <v>76</v>
      </c>
      <c r="L167" s="107" t="s">
        <v>808</v>
      </c>
      <c r="M167" s="107"/>
    </row>
    <row r="168" spans="1:13" x14ac:dyDescent="0.35">
      <c r="A168" s="118" t="s">
        <v>388</v>
      </c>
      <c r="B168" s="107" t="s">
        <v>382</v>
      </c>
      <c r="C168" s="107" t="s">
        <v>382</v>
      </c>
      <c r="D168" s="107" t="s">
        <v>382</v>
      </c>
      <c r="E168" s="107" t="s">
        <v>1244</v>
      </c>
      <c r="F168" s="107" t="s">
        <v>382</v>
      </c>
      <c r="G168" s="107" t="s">
        <v>1027</v>
      </c>
      <c r="H168" s="107" t="s">
        <v>595</v>
      </c>
      <c r="I168" s="107" t="s">
        <v>382</v>
      </c>
      <c r="J168" s="107" t="s">
        <v>382</v>
      </c>
      <c r="K168" s="107" t="s">
        <v>382</v>
      </c>
      <c r="L168" s="107" t="s">
        <v>809</v>
      </c>
      <c r="M168" s="107"/>
    </row>
    <row r="169" spans="1:13" ht="29" x14ac:dyDescent="0.35">
      <c r="A169" s="118" t="s">
        <v>331</v>
      </c>
      <c r="B169" s="107" t="s">
        <v>88</v>
      </c>
      <c r="C169" s="107" t="s">
        <v>88</v>
      </c>
      <c r="D169" s="107" t="s">
        <v>88</v>
      </c>
      <c r="E169" t="s">
        <v>1028</v>
      </c>
      <c r="F169" s="107" t="s">
        <v>88</v>
      </c>
      <c r="G169" s="131" t="s">
        <v>1029</v>
      </c>
      <c r="H169" s="107" t="s">
        <v>1088</v>
      </c>
      <c r="I169" s="107" t="s">
        <v>88</v>
      </c>
      <c r="J169" s="107" t="s">
        <v>88</v>
      </c>
      <c r="K169" s="107" t="s">
        <v>88</v>
      </c>
      <c r="L169" s="107" t="s">
        <v>810</v>
      </c>
      <c r="M169" s="107"/>
    </row>
    <row r="170" spans="1:13" ht="15" x14ac:dyDescent="0.35">
      <c r="A170" s="118" t="s">
        <v>332</v>
      </c>
      <c r="B170" s="107" t="s">
        <v>67</v>
      </c>
      <c r="C170" s="107" t="s">
        <v>67</v>
      </c>
      <c r="D170" s="107" t="s">
        <v>67</v>
      </c>
      <c r="E170" t="s">
        <v>1030</v>
      </c>
      <c r="F170" s="107" t="s">
        <v>67</v>
      </c>
      <c r="G170" s="131" t="s">
        <v>1031</v>
      </c>
      <c r="H170" s="107" t="s">
        <v>596</v>
      </c>
      <c r="I170" s="107" t="s">
        <v>67</v>
      </c>
      <c r="J170" s="107" t="s">
        <v>67</v>
      </c>
      <c r="K170" s="107" t="s">
        <v>67</v>
      </c>
      <c r="L170" s="107" t="s">
        <v>1083</v>
      </c>
      <c r="M170" s="107"/>
    </row>
    <row r="171" spans="1:13" x14ac:dyDescent="0.35">
      <c r="A171" s="118" t="s">
        <v>333</v>
      </c>
      <c r="B171" s="107" t="s">
        <v>42</v>
      </c>
      <c r="C171" s="107" t="s">
        <v>42</v>
      </c>
      <c r="D171" s="107" t="s">
        <v>42</v>
      </c>
      <c r="E171" s="107" t="s">
        <v>1245</v>
      </c>
      <c r="F171" s="107" t="s">
        <v>42</v>
      </c>
      <c r="G171" s="107" t="s">
        <v>1032</v>
      </c>
      <c r="H171" s="107" t="s">
        <v>597</v>
      </c>
      <c r="I171" s="107" t="s">
        <v>42</v>
      </c>
      <c r="J171" s="107" t="s">
        <v>42</v>
      </c>
      <c r="K171" s="107" t="s">
        <v>42</v>
      </c>
      <c r="L171" s="107" t="s">
        <v>811</v>
      </c>
      <c r="M171" s="107"/>
    </row>
    <row r="172" spans="1:13" x14ac:dyDescent="0.35">
      <c r="A172" s="118" t="s">
        <v>334</v>
      </c>
      <c r="B172" s="107" t="s">
        <v>83</v>
      </c>
      <c r="C172" s="107" t="s">
        <v>83</v>
      </c>
      <c r="D172" s="107" t="s">
        <v>83</v>
      </c>
      <c r="E172" s="107" t="s">
        <v>1246</v>
      </c>
      <c r="F172" s="107" t="s">
        <v>83</v>
      </c>
      <c r="G172" s="107" t="s">
        <v>598</v>
      </c>
      <c r="H172" s="107" t="s">
        <v>598</v>
      </c>
      <c r="I172" s="107" t="s">
        <v>83</v>
      </c>
      <c r="J172" s="107" t="s">
        <v>83</v>
      </c>
      <c r="K172" s="107" t="s">
        <v>83</v>
      </c>
      <c r="L172" s="107" t="s">
        <v>812</v>
      </c>
      <c r="M172" s="107"/>
    </row>
    <row r="173" spans="1:13" x14ac:dyDescent="0.35">
      <c r="A173" s="118" t="s">
        <v>335</v>
      </c>
      <c r="B173" s="107" t="s">
        <v>78</v>
      </c>
      <c r="C173" s="107" t="s">
        <v>78</v>
      </c>
      <c r="D173" s="107" t="s">
        <v>78</v>
      </c>
      <c r="E173" s="107" t="s">
        <v>1247</v>
      </c>
      <c r="F173" s="107" t="s">
        <v>78</v>
      </c>
      <c r="G173" s="107" t="s">
        <v>1033</v>
      </c>
      <c r="H173" s="107" t="s">
        <v>599</v>
      </c>
      <c r="I173" s="107" t="s">
        <v>78</v>
      </c>
      <c r="J173" s="107" t="s">
        <v>78</v>
      </c>
      <c r="K173" s="107" t="s">
        <v>78</v>
      </c>
      <c r="L173" s="107" t="s">
        <v>813</v>
      </c>
      <c r="M173" s="107"/>
    </row>
    <row r="174" spans="1:13" x14ac:dyDescent="0.35">
      <c r="A174" s="118" t="s">
        <v>336</v>
      </c>
      <c r="B174" s="107" t="s">
        <v>57</v>
      </c>
      <c r="C174" s="107" t="s">
        <v>57</v>
      </c>
      <c r="D174" s="107" t="s">
        <v>57</v>
      </c>
      <c r="E174" s="107" t="s">
        <v>1248</v>
      </c>
      <c r="F174" s="107" t="s">
        <v>57</v>
      </c>
      <c r="G174" s="107" t="s">
        <v>1034</v>
      </c>
      <c r="H174" s="107" t="s">
        <v>600</v>
      </c>
      <c r="I174" s="107" t="s">
        <v>57</v>
      </c>
      <c r="J174" s="107" t="s">
        <v>57</v>
      </c>
      <c r="K174" s="107" t="s">
        <v>57</v>
      </c>
      <c r="L174" s="107" t="s">
        <v>814</v>
      </c>
      <c r="M174" s="107"/>
    </row>
    <row r="175" spans="1:13" x14ac:dyDescent="0.35">
      <c r="A175" s="118" t="s">
        <v>337</v>
      </c>
      <c r="B175" s="107" t="s">
        <v>10</v>
      </c>
      <c r="C175" s="107" t="s">
        <v>10</v>
      </c>
      <c r="D175" s="107" t="s">
        <v>10</v>
      </c>
      <c r="E175" s="107" t="s">
        <v>1249</v>
      </c>
      <c r="F175" s="107" t="s">
        <v>10</v>
      </c>
      <c r="G175" s="107" t="s">
        <v>1035</v>
      </c>
      <c r="H175" s="107" t="s">
        <v>601</v>
      </c>
      <c r="I175" s="107" t="s">
        <v>10</v>
      </c>
      <c r="J175" s="107" t="s">
        <v>10</v>
      </c>
      <c r="K175" s="107" t="s">
        <v>10</v>
      </c>
      <c r="L175" s="107" t="s">
        <v>815</v>
      </c>
      <c r="M175" s="107"/>
    </row>
    <row r="176" spans="1:13" x14ac:dyDescent="0.35">
      <c r="A176" s="118" t="s">
        <v>338</v>
      </c>
      <c r="B176" s="107" t="s">
        <v>34</v>
      </c>
      <c r="C176" s="107" t="s">
        <v>34</v>
      </c>
      <c r="D176" s="107" t="s">
        <v>34</v>
      </c>
      <c r="E176" s="107" t="s">
        <v>1250</v>
      </c>
      <c r="F176" s="107" t="s">
        <v>34</v>
      </c>
      <c r="G176" s="107" t="s">
        <v>1036</v>
      </c>
      <c r="H176" s="107" t="s">
        <v>602</v>
      </c>
      <c r="I176" s="107" t="s">
        <v>34</v>
      </c>
      <c r="J176" s="107" t="s">
        <v>34</v>
      </c>
      <c r="K176" s="107" t="s">
        <v>34</v>
      </c>
      <c r="L176" s="107" t="s">
        <v>816</v>
      </c>
      <c r="M176" s="107"/>
    </row>
    <row r="177" spans="1:13" x14ac:dyDescent="0.35">
      <c r="A177" s="118" t="s">
        <v>339</v>
      </c>
      <c r="B177" s="107" t="s">
        <v>4</v>
      </c>
      <c r="C177" s="107" t="s">
        <v>4</v>
      </c>
      <c r="D177" s="107" t="s">
        <v>4</v>
      </c>
      <c r="E177" s="107" t="s">
        <v>1251</v>
      </c>
      <c r="F177" s="107" t="s">
        <v>4</v>
      </c>
      <c r="G177" s="107" t="s">
        <v>1037</v>
      </c>
      <c r="H177" s="107" t="s">
        <v>603</v>
      </c>
      <c r="I177" s="107" t="s">
        <v>4</v>
      </c>
      <c r="J177" s="107" t="s">
        <v>4</v>
      </c>
      <c r="K177" s="107" t="s">
        <v>4</v>
      </c>
      <c r="L177" s="107" t="s">
        <v>817</v>
      </c>
      <c r="M177" s="107"/>
    </row>
    <row r="178" spans="1:13" x14ac:dyDescent="0.35">
      <c r="A178" s="118" t="s">
        <v>147</v>
      </c>
      <c r="B178" s="107" t="s">
        <v>147</v>
      </c>
      <c r="C178" s="107" t="s">
        <v>147</v>
      </c>
      <c r="D178" s="107" t="s">
        <v>147</v>
      </c>
      <c r="E178" s="107" t="s">
        <v>1252</v>
      </c>
      <c r="F178" s="107" t="s">
        <v>147</v>
      </c>
      <c r="G178" s="107" t="s">
        <v>147</v>
      </c>
      <c r="H178" s="107" t="s">
        <v>147</v>
      </c>
      <c r="I178" s="107" t="s">
        <v>147</v>
      </c>
      <c r="J178" s="107" t="s">
        <v>147</v>
      </c>
      <c r="K178" s="107" t="s">
        <v>147</v>
      </c>
      <c r="L178" s="107" t="s">
        <v>818</v>
      </c>
      <c r="M178" s="107"/>
    </row>
    <row r="179" spans="1:13" x14ac:dyDescent="0.35">
      <c r="A179" s="118" t="s">
        <v>340</v>
      </c>
      <c r="B179" s="107" t="s">
        <v>24</v>
      </c>
      <c r="C179" s="107" t="s">
        <v>24</v>
      </c>
      <c r="D179" s="107" t="s">
        <v>24</v>
      </c>
      <c r="E179" s="107" t="s">
        <v>1253</v>
      </c>
      <c r="F179" s="107" t="s">
        <v>24</v>
      </c>
      <c r="G179" s="107" t="s">
        <v>1038</v>
      </c>
      <c r="H179" s="107" t="s">
        <v>604</v>
      </c>
      <c r="I179" s="107" t="s">
        <v>24</v>
      </c>
      <c r="J179" s="107" t="s">
        <v>24</v>
      </c>
      <c r="K179" s="107" t="s">
        <v>24</v>
      </c>
      <c r="L179" s="107" t="s">
        <v>819</v>
      </c>
      <c r="M179" s="107"/>
    </row>
    <row r="180" spans="1:13" x14ac:dyDescent="0.35">
      <c r="A180" s="118" t="s">
        <v>341</v>
      </c>
      <c r="B180" s="107" t="s">
        <v>84</v>
      </c>
      <c r="C180" s="107" t="s">
        <v>84</v>
      </c>
      <c r="D180" s="107" t="s">
        <v>84</v>
      </c>
      <c r="E180" s="107" t="s">
        <v>1254</v>
      </c>
      <c r="F180" s="107" t="s">
        <v>84</v>
      </c>
      <c r="G180" s="107" t="s">
        <v>1039</v>
      </c>
      <c r="H180" s="107" t="s">
        <v>605</v>
      </c>
      <c r="I180" s="107" t="s">
        <v>84</v>
      </c>
      <c r="J180" s="107" t="s">
        <v>84</v>
      </c>
      <c r="K180" s="107" t="s">
        <v>84</v>
      </c>
      <c r="L180" s="107" t="s">
        <v>820</v>
      </c>
      <c r="M180" s="107"/>
    </row>
    <row r="181" spans="1:13" x14ac:dyDescent="0.35">
      <c r="A181" s="118" t="s">
        <v>342</v>
      </c>
      <c r="B181" s="107" t="s">
        <v>117</v>
      </c>
      <c r="C181" s="107" t="s">
        <v>117</v>
      </c>
      <c r="D181" s="107" t="s">
        <v>117</v>
      </c>
      <c r="E181" s="107" t="s">
        <v>1255</v>
      </c>
      <c r="F181" s="107" t="s">
        <v>117</v>
      </c>
      <c r="G181" s="107" t="s">
        <v>1040</v>
      </c>
      <c r="H181" s="107" t="s">
        <v>606</v>
      </c>
      <c r="I181" s="107" t="s">
        <v>117</v>
      </c>
      <c r="J181" s="107" t="s">
        <v>117</v>
      </c>
      <c r="K181" s="107" t="s">
        <v>117</v>
      </c>
      <c r="L181" s="107" t="s">
        <v>821</v>
      </c>
      <c r="M181" s="107"/>
    </row>
    <row r="182" spans="1:13" ht="43.5" x14ac:dyDescent="0.35">
      <c r="A182" s="118" t="s">
        <v>343</v>
      </c>
      <c r="B182" s="107" t="s">
        <v>148</v>
      </c>
      <c r="C182" s="107" t="s">
        <v>148</v>
      </c>
      <c r="D182" s="107" t="s">
        <v>148</v>
      </c>
      <c r="E182" s="107" t="s">
        <v>1256</v>
      </c>
      <c r="F182" s="107" t="s">
        <v>148</v>
      </c>
      <c r="G182" s="107" t="s">
        <v>1041</v>
      </c>
      <c r="H182" s="107" t="s">
        <v>607</v>
      </c>
      <c r="I182" s="107" t="s">
        <v>148</v>
      </c>
      <c r="J182" s="107" t="s">
        <v>148</v>
      </c>
      <c r="K182" s="107" t="s">
        <v>148</v>
      </c>
      <c r="L182" s="107" t="s">
        <v>822</v>
      </c>
      <c r="M182" s="107"/>
    </row>
    <row r="183" spans="1:13" ht="29" x14ac:dyDescent="0.35">
      <c r="A183" s="118" t="s">
        <v>344</v>
      </c>
      <c r="B183" s="107" t="s">
        <v>90</v>
      </c>
      <c r="C183" s="107" t="s">
        <v>90</v>
      </c>
      <c r="D183" s="107" t="s">
        <v>90</v>
      </c>
      <c r="E183" s="107" t="s">
        <v>1257</v>
      </c>
      <c r="F183" s="107" t="s">
        <v>90</v>
      </c>
      <c r="G183" s="107" t="s">
        <v>1042</v>
      </c>
      <c r="H183" s="107" t="s">
        <v>608</v>
      </c>
      <c r="I183" s="107" t="s">
        <v>90</v>
      </c>
      <c r="J183" s="107" t="s">
        <v>90</v>
      </c>
      <c r="K183" s="107" t="s">
        <v>90</v>
      </c>
      <c r="L183" s="107" t="s">
        <v>823</v>
      </c>
      <c r="M183" s="107"/>
    </row>
    <row r="184" spans="1:13" x14ac:dyDescent="0.35">
      <c r="A184" s="118" t="s">
        <v>345</v>
      </c>
      <c r="B184" s="107" t="s">
        <v>140</v>
      </c>
      <c r="C184" s="107" t="s">
        <v>140</v>
      </c>
      <c r="D184" s="107" t="s">
        <v>140</v>
      </c>
      <c r="E184" s="107" t="s">
        <v>1258</v>
      </c>
      <c r="F184" s="107" t="s">
        <v>140</v>
      </c>
      <c r="G184" s="107" t="s">
        <v>1043</v>
      </c>
      <c r="H184" s="107" t="s">
        <v>609</v>
      </c>
      <c r="I184" s="107" t="s">
        <v>140</v>
      </c>
      <c r="J184" s="107" t="s">
        <v>140</v>
      </c>
      <c r="K184" s="107" t="s">
        <v>140</v>
      </c>
      <c r="L184" s="107" t="s">
        <v>824</v>
      </c>
      <c r="M184" s="107"/>
    </row>
    <row r="185" spans="1:13" ht="275.5" x14ac:dyDescent="0.35">
      <c r="A185" s="118" t="s">
        <v>346</v>
      </c>
      <c r="B185" s="107" t="s">
        <v>1305</v>
      </c>
      <c r="C185" s="107" t="s">
        <v>1305</v>
      </c>
      <c r="D185" s="107" t="s">
        <v>1305</v>
      </c>
      <c r="E185" s="107" t="s">
        <v>1309</v>
      </c>
      <c r="F185" s="107" t="s">
        <v>1305</v>
      </c>
      <c r="G185" s="107" t="s">
        <v>1307</v>
      </c>
      <c r="H185" s="107" t="s">
        <v>1306</v>
      </c>
      <c r="I185" s="107" t="s">
        <v>1305</v>
      </c>
      <c r="J185" s="107" t="s">
        <v>1305</v>
      </c>
      <c r="K185" s="107" t="s">
        <v>1305</v>
      </c>
      <c r="L185" s="107" t="s">
        <v>1308</v>
      </c>
      <c r="M185" s="107"/>
    </row>
    <row r="186" spans="1:13" ht="203" x14ac:dyDescent="0.35">
      <c r="A186" s="118" t="s">
        <v>347</v>
      </c>
      <c r="B186" s="107" t="s">
        <v>191</v>
      </c>
      <c r="C186" s="107" t="s">
        <v>191</v>
      </c>
      <c r="D186" s="107" t="s">
        <v>191</v>
      </c>
      <c r="E186" s="107" t="s">
        <v>1259</v>
      </c>
      <c r="F186" s="107" t="s">
        <v>191</v>
      </c>
      <c r="G186" s="107" t="s">
        <v>1044</v>
      </c>
      <c r="H186" s="107" t="s">
        <v>610</v>
      </c>
      <c r="I186" s="107" t="s">
        <v>191</v>
      </c>
      <c r="J186" s="107" t="s">
        <v>191</v>
      </c>
      <c r="K186" s="107" t="s">
        <v>191</v>
      </c>
      <c r="L186" s="107" t="s">
        <v>825</v>
      </c>
      <c r="M186" s="107"/>
    </row>
    <row r="187" spans="1:13" ht="29" x14ac:dyDescent="0.35">
      <c r="A187" s="118" t="s">
        <v>348</v>
      </c>
      <c r="B187" s="107" t="s">
        <v>183</v>
      </c>
      <c r="C187" s="107" t="s">
        <v>183</v>
      </c>
      <c r="D187" s="107" t="s">
        <v>183</v>
      </c>
      <c r="E187" s="107" t="s">
        <v>1260</v>
      </c>
      <c r="F187" s="107" t="s">
        <v>183</v>
      </c>
      <c r="G187" s="107" t="s">
        <v>1045</v>
      </c>
      <c r="H187" s="107" t="s">
        <v>611</v>
      </c>
      <c r="I187" s="107" t="s">
        <v>183</v>
      </c>
      <c r="J187" s="107" t="s">
        <v>183</v>
      </c>
      <c r="K187" s="107" t="s">
        <v>183</v>
      </c>
      <c r="L187" s="107" t="s">
        <v>826</v>
      </c>
      <c r="M187" s="107"/>
    </row>
    <row r="188" spans="1:13" x14ac:dyDescent="0.35">
      <c r="A188" s="118" t="s">
        <v>349</v>
      </c>
      <c r="B188" s="107" t="s">
        <v>27</v>
      </c>
      <c r="C188" s="107" t="s">
        <v>27</v>
      </c>
      <c r="D188" s="107" t="s">
        <v>27</v>
      </c>
      <c r="E188" s="107" t="s">
        <v>1261</v>
      </c>
      <c r="F188" s="107" t="s">
        <v>27</v>
      </c>
      <c r="G188" s="107" t="s">
        <v>27</v>
      </c>
      <c r="H188" s="107" t="s">
        <v>612</v>
      </c>
      <c r="I188" s="107" t="s">
        <v>27</v>
      </c>
      <c r="J188" s="107" t="s">
        <v>27</v>
      </c>
      <c r="K188" s="107" t="s">
        <v>27</v>
      </c>
      <c r="L188" s="107" t="s">
        <v>827</v>
      </c>
      <c r="M188" s="107"/>
    </row>
    <row r="189" spans="1:13" x14ac:dyDescent="0.35">
      <c r="A189" s="118" t="s">
        <v>350</v>
      </c>
      <c r="B189" s="107" t="s">
        <v>82</v>
      </c>
      <c r="C189" s="107" t="s">
        <v>82</v>
      </c>
      <c r="D189" s="107" t="s">
        <v>82</v>
      </c>
      <c r="E189" s="107" t="s">
        <v>1262</v>
      </c>
      <c r="F189" s="107" t="s">
        <v>82</v>
      </c>
      <c r="G189" s="107" t="s">
        <v>1046</v>
      </c>
      <c r="H189" s="107" t="s">
        <v>613</v>
      </c>
      <c r="I189" s="107" t="s">
        <v>82</v>
      </c>
      <c r="J189" s="107" t="s">
        <v>82</v>
      </c>
      <c r="K189" s="107" t="s">
        <v>82</v>
      </c>
      <c r="L189" s="107" t="s">
        <v>828</v>
      </c>
      <c r="M189" s="107"/>
    </row>
    <row r="190" spans="1:13" x14ac:dyDescent="0.35">
      <c r="A190" s="118" t="s">
        <v>351</v>
      </c>
      <c r="B190" s="107" t="s">
        <v>99</v>
      </c>
      <c r="C190" s="107" t="s">
        <v>99</v>
      </c>
      <c r="D190" s="107" t="s">
        <v>99</v>
      </c>
      <c r="E190" s="107" t="s">
        <v>1263</v>
      </c>
      <c r="F190" s="107" t="s">
        <v>99</v>
      </c>
      <c r="G190" s="107" t="s">
        <v>1047</v>
      </c>
      <c r="H190" s="107" t="s">
        <v>614</v>
      </c>
      <c r="I190" s="107" t="s">
        <v>99</v>
      </c>
      <c r="J190" s="107" t="s">
        <v>99</v>
      </c>
      <c r="K190" s="107" t="s">
        <v>99</v>
      </c>
      <c r="L190" s="107" t="s">
        <v>829</v>
      </c>
      <c r="M190" s="107"/>
    </row>
    <row r="191" spans="1:13" x14ac:dyDescent="0.35">
      <c r="A191" s="118" t="s">
        <v>352</v>
      </c>
      <c r="B191" s="107" t="s">
        <v>91</v>
      </c>
      <c r="C191" s="107" t="s">
        <v>91</v>
      </c>
      <c r="D191" s="107" t="s">
        <v>91</v>
      </c>
      <c r="E191" s="107" t="s">
        <v>1264</v>
      </c>
      <c r="F191" s="107" t="s">
        <v>91</v>
      </c>
      <c r="G191" s="107" t="s">
        <v>1048</v>
      </c>
      <c r="H191" s="107" t="s">
        <v>615</v>
      </c>
      <c r="I191" s="107" t="s">
        <v>91</v>
      </c>
      <c r="J191" s="107" t="s">
        <v>91</v>
      </c>
      <c r="K191" s="107" t="s">
        <v>91</v>
      </c>
      <c r="L191" s="107" t="s">
        <v>830</v>
      </c>
      <c r="M191" s="107"/>
    </row>
    <row r="192" spans="1:13" x14ac:dyDescent="0.35">
      <c r="A192" s="118" t="s">
        <v>353</v>
      </c>
      <c r="B192" s="107" t="s">
        <v>180</v>
      </c>
      <c r="C192" s="107" t="s">
        <v>180</v>
      </c>
      <c r="D192" s="107" t="s">
        <v>180</v>
      </c>
      <c r="E192" s="107" t="s">
        <v>1265</v>
      </c>
      <c r="F192" s="107" t="s">
        <v>180</v>
      </c>
      <c r="G192" s="107" t="s">
        <v>1049</v>
      </c>
      <c r="H192" s="107" t="s">
        <v>616</v>
      </c>
      <c r="I192" s="107" t="s">
        <v>180</v>
      </c>
      <c r="J192" s="107" t="s">
        <v>180</v>
      </c>
      <c r="K192" s="107" t="s">
        <v>180</v>
      </c>
      <c r="L192" s="107" t="s">
        <v>831</v>
      </c>
      <c r="M192" s="107"/>
    </row>
    <row r="193" spans="1:13" x14ac:dyDescent="0.35">
      <c r="A193" s="118" t="s">
        <v>354</v>
      </c>
      <c r="B193" s="107" t="s">
        <v>104</v>
      </c>
      <c r="C193" s="107" t="s">
        <v>104</v>
      </c>
      <c r="D193" s="107" t="s">
        <v>104</v>
      </c>
      <c r="E193" s="107" t="s">
        <v>1266</v>
      </c>
      <c r="F193" s="107" t="s">
        <v>104</v>
      </c>
      <c r="G193" s="107" t="s">
        <v>1050</v>
      </c>
      <c r="H193" s="107" t="s">
        <v>617</v>
      </c>
      <c r="I193" s="107" t="s">
        <v>104</v>
      </c>
      <c r="J193" s="107" t="s">
        <v>104</v>
      </c>
      <c r="K193" s="107" t="s">
        <v>104</v>
      </c>
      <c r="L193" s="107" t="s">
        <v>832</v>
      </c>
      <c r="M193" s="107"/>
    </row>
    <row r="194" spans="1:13" x14ac:dyDescent="0.35">
      <c r="A194" s="118" t="s">
        <v>355</v>
      </c>
      <c r="B194" s="107" t="s">
        <v>74</v>
      </c>
      <c r="C194" s="107" t="s">
        <v>74</v>
      </c>
      <c r="D194" s="107" t="s">
        <v>74</v>
      </c>
      <c r="E194" s="107" t="s">
        <v>1267</v>
      </c>
      <c r="F194" s="107" t="s">
        <v>74</v>
      </c>
      <c r="G194" s="107" t="s">
        <v>1051</v>
      </c>
      <c r="H194" s="107" t="s">
        <v>618</v>
      </c>
      <c r="I194" s="107" t="s">
        <v>74</v>
      </c>
      <c r="J194" s="107" t="s">
        <v>74</v>
      </c>
      <c r="K194" s="107" t="s">
        <v>74</v>
      </c>
      <c r="L194" s="107" t="s">
        <v>833</v>
      </c>
      <c r="M194" s="107"/>
    </row>
    <row r="195" spans="1:13" ht="29" x14ac:dyDescent="0.35">
      <c r="A195" s="118" t="s">
        <v>417</v>
      </c>
      <c r="B195" s="107" t="s">
        <v>418</v>
      </c>
      <c r="C195" s="107" t="s">
        <v>418</v>
      </c>
      <c r="D195" s="107" t="s">
        <v>418</v>
      </c>
      <c r="E195" s="107" t="s">
        <v>1268</v>
      </c>
      <c r="F195" s="107" t="s">
        <v>418</v>
      </c>
      <c r="G195" s="107" t="s">
        <v>1052</v>
      </c>
      <c r="H195" s="107" t="s">
        <v>619</v>
      </c>
      <c r="I195" s="107" t="s">
        <v>418</v>
      </c>
      <c r="J195" s="107" t="s">
        <v>418</v>
      </c>
      <c r="K195" s="107" t="s">
        <v>418</v>
      </c>
      <c r="L195" s="107" t="s">
        <v>834</v>
      </c>
      <c r="M195" s="107"/>
    </row>
    <row r="196" spans="1:13" x14ac:dyDescent="0.35">
      <c r="A196" s="118" t="s">
        <v>414</v>
      </c>
      <c r="B196" s="107" t="s">
        <v>413</v>
      </c>
      <c r="C196" s="107" t="s">
        <v>413</v>
      </c>
      <c r="D196" s="107" t="s">
        <v>413</v>
      </c>
      <c r="E196" s="107" t="s">
        <v>1269</v>
      </c>
      <c r="F196" s="107" t="s">
        <v>413</v>
      </c>
      <c r="G196" s="107" t="s">
        <v>1053</v>
      </c>
      <c r="H196" s="107" t="s">
        <v>620</v>
      </c>
      <c r="I196" s="107" t="s">
        <v>413</v>
      </c>
      <c r="J196" s="107" t="s">
        <v>413</v>
      </c>
      <c r="K196" s="107" t="s">
        <v>413</v>
      </c>
      <c r="L196" s="107" t="s">
        <v>835</v>
      </c>
      <c r="M196" s="107"/>
    </row>
    <row r="197" spans="1:13" x14ac:dyDescent="0.35">
      <c r="A197" s="118" t="s">
        <v>419</v>
      </c>
      <c r="B197" s="107" t="s">
        <v>378</v>
      </c>
      <c r="C197" s="107" t="s">
        <v>378</v>
      </c>
      <c r="D197" s="107" t="s">
        <v>378</v>
      </c>
      <c r="E197" s="107" t="s">
        <v>1073</v>
      </c>
      <c r="F197" s="107" t="s">
        <v>378</v>
      </c>
      <c r="G197" s="107" t="s">
        <v>378</v>
      </c>
      <c r="H197" s="107" t="s">
        <v>378</v>
      </c>
      <c r="I197" s="107" t="s">
        <v>378</v>
      </c>
      <c r="J197" s="107" t="s">
        <v>378</v>
      </c>
      <c r="K197" s="107" t="s">
        <v>378</v>
      </c>
      <c r="L197" s="107" t="s">
        <v>836</v>
      </c>
      <c r="M197" s="107"/>
    </row>
    <row r="198" spans="1:13" x14ac:dyDescent="0.35">
      <c r="A198" s="118" t="s">
        <v>356</v>
      </c>
      <c r="B198" s="107" t="s">
        <v>141</v>
      </c>
      <c r="C198" s="107" t="s">
        <v>141</v>
      </c>
      <c r="D198" s="107" t="s">
        <v>141</v>
      </c>
      <c r="E198" s="107" t="s">
        <v>1270</v>
      </c>
      <c r="F198" s="107" t="s">
        <v>141</v>
      </c>
      <c r="G198" s="107" t="s">
        <v>1054</v>
      </c>
      <c r="H198" s="107" t="s">
        <v>621</v>
      </c>
      <c r="I198" s="107" t="s">
        <v>141</v>
      </c>
      <c r="J198" s="107" t="s">
        <v>141</v>
      </c>
      <c r="K198" s="107" t="s">
        <v>141</v>
      </c>
      <c r="L198" s="107" t="s">
        <v>837</v>
      </c>
      <c r="M198" s="107"/>
    </row>
    <row r="199" spans="1:13" ht="29" x14ac:dyDescent="0.35">
      <c r="A199" s="118" t="s">
        <v>357</v>
      </c>
      <c r="B199" s="107" t="s">
        <v>51</v>
      </c>
      <c r="C199" s="107" t="s">
        <v>51</v>
      </c>
      <c r="D199" s="107" t="s">
        <v>51</v>
      </c>
      <c r="E199" s="107" t="s">
        <v>1271</v>
      </c>
      <c r="F199" s="107" t="s">
        <v>51</v>
      </c>
      <c r="G199" s="107" t="s">
        <v>1055</v>
      </c>
      <c r="H199" s="107" t="s">
        <v>622</v>
      </c>
      <c r="I199" s="107" t="s">
        <v>51</v>
      </c>
      <c r="J199" s="107" t="s">
        <v>51</v>
      </c>
      <c r="K199" s="107" t="s">
        <v>51</v>
      </c>
      <c r="L199" s="107" t="s">
        <v>838</v>
      </c>
      <c r="M199" s="107"/>
    </row>
    <row r="200" spans="1:13" x14ac:dyDescent="0.35">
      <c r="A200" s="118" t="s">
        <v>358</v>
      </c>
      <c r="B200" s="107" t="s">
        <v>123</v>
      </c>
      <c r="C200" s="107" t="s">
        <v>123</v>
      </c>
      <c r="D200" s="107" t="s">
        <v>123</v>
      </c>
      <c r="E200" s="107" t="s">
        <v>1270</v>
      </c>
      <c r="F200" s="107" t="s">
        <v>123</v>
      </c>
      <c r="G200" s="107" t="s">
        <v>1056</v>
      </c>
      <c r="H200" s="107" t="s">
        <v>621</v>
      </c>
      <c r="I200" s="107" t="s">
        <v>123</v>
      </c>
      <c r="J200" s="107" t="s">
        <v>123</v>
      </c>
      <c r="K200" s="107" t="s">
        <v>123</v>
      </c>
      <c r="L200" s="107" t="s">
        <v>839</v>
      </c>
      <c r="M200" s="107"/>
    </row>
    <row r="201" spans="1:13" x14ac:dyDescent="0.35">
      <c r="A201" s="118" t="s">
        <v>43</v>
      </c>
      <c r="B201" s="107" t="s">
        <v>43</v>
      </c>
      <c r="C201" s="107" t="s">
        <v>43</v>
      </c>
      <c r="D201" s="107" t="s">
        <v>43</v>
      </c>
      <c r="E201" s="107" t="s">
        <v>1272</v>
      </c>
      <c r="F201" s="107" t="s">
        <v>43</v>
      </c>
      <c r="G201" s="107" t="s">
        <v>1057</v>
      </c>
      <c r="H201" s="107" t="s">
        <v>623</v>
      </c>
      <c r="I201" s="107" t="s">
        <v>43</v>
      </c>
      <c r="J201" s="107" t="s">
        <v>43</v>
      </c>
      <c r="K201" s="107" t="s">
        <v>43</v>
      </c>
      <c r="L201" s="107" t="s">
        <v>840</v>
      </c>
      <c r="M201" s="107"/>
    </row>
    <row r="202" spans="1:13" x14ac:dyDescent="0.35">
      <c r="A202" s="118" t="s">
        <v>359</v>
      </c>
      <c r="B202" s="107" t="s">
        <v>89</v>
      </c>
      <c r="C202" s="107" t="s">
        <v>89</v>
      </c>
      <c r="D202" s="107" t="s">
        <v>89</v>
      </c>
      <c r="E202" s="107" t="s">
        <v>1273</v>
      </c>
      <c r="F202" s="107" t="s">
        <v>89</v>
      </c>
      <c r="G202" s="107" t="s">
        <v>1058</v>
      </c>
      <c r="H202" s="107" t="s">
        <v>624</v>
      </c>
      <c r="I202" s="107" t="s">
        <v>89</v>
      </c>
      <c r="J202" s="107" t="s">
        <v>89</v>
      </c>
      <c r="K202" s="107" t="s">
        <v>89</v>
      </c>
      <c r="L202" s="107" t="s">
        <v>841</v>
      </c>
      <c r="M202" s="107"/>
    </row>
    <row r="203" spans="1:13" x14ac:dyDescent="0.35">
      <c r="A203" s="118" t="s">
        <v>360</v>
      </c>
      <c r="B203" s="107" t="s">
        <v>145</v>
      </c>
      <c r="C203" s="107" t="s">
        <v>145</v>
      </c>
      <c r="D203" s="107" t="s">
        <v>145</v>
      </c>
      <c r="E203" s="107" t="s">
        <v>1274</v>
      </c>
      <c r="F203" s="107" t="s">
        <v>145</v>
      </c>
      <c r="G203" s="107" t="s">
        <v>1059</v>
      </c>
      <c r="H203" s="107" t="s">
        <v>625</v>
      </c>
      <c r="I203" s="107" t="s">
        <v>145</v>
      </c>
      <c r="J203" s="107" t="s">
        <v>145</v>
      </c>
      <c r="K203" s="107" t="s">
        <v>145</v>
      </c>
      <c r="L203" s="107" t="s">
        <v>842</v>
      </c>
      <c r="M203" s="107"/>
    </row>
    <row r="204" spans="1:13" x14ac:dyDescent="0.35">
      <c r="A204" s="118" t="s">
        <v>361</v>
      </c>
      <c r="B204" s="107" t="s">
        <v>80</v>
      </c>
      <c r="C204" s="107" t="s">
        <v>80</v>
      </c>
      <c r="D204" s="107" t="s">
        <v>80</v>
      </c>
      <c r="E204" s="107" t="s">
        <v>1275</v>
      </c>
      <c r="F204" s="107" t="s">
        <v>80</v>
      </c>
      <c r="G204" s="107" t="s">
        <v>1059</v>
      </c>
      <c r="H204" s="107" t="s">
        <v>625</v>
      </c>
      <c r="I204" s="107" t="s">
        <v>80</v>
      </c>
      <c r="J204" s="107" t="s">
        <v>80</v>
      </c>
      <c r="K204" s="107" t="s">
        <v>80</v>
      </c>
      <c r="L204" s="107" t="s">
        <v>842</v>
      </c>
      <c r="M204" s="107"/>
    </row>
    <row r="205" spans="1:13" ht="43.5" x14ac:dyDescent="0.35">
      <c r="A205" s="118" t="s">
        <v>362</v>
      </c>
      <c r="B205" s="107" t="s">
        <v>186</v>
      </c>
      <c r="C205" s="107" t="s">
        <v>186</v>
      </c>
      <c r="D205" s="107" t="s">
        <v>186</v>
      </c>
      <c r="E205" s="107" t="s">
        <v>1276</v>
      </c>
      <c r="F205" s="107" t="s">
        <v>186</v>
      </c>
      <c r="G205" s="107" t="s">
        <v>1060</v>
      </c>
      <c r="H205" s="107" t="s">
        <v>626</v>
      </c>
      <c r="I205" s="107" t="s">
        <v>186</v>
      </c>
      <c r="J205" s="107" t="s">
        <v>186</v>
      </c>
      <c r="K205" s="107" t="s">
        <v>186</v>
      </c>
      <c r="L205" s="107" t="s">
        <v>843</v>
      </c>
      <c r="M205" s="107"/>
    </row>
    <row r="206" spans="1:13" ht="116" x14ac:dyDescent="0.35">
      <c r="A206" s="118" t="s">
        <v>363</v>
      </c>
      <c r="B206" s="107" t="s">
        <v>190</v>
      </c>
      <c r="C206" s="107" t="s">
        <v>190</v>
      </c>
      <c r="D206" s="107" t="s">
        <v>190</v>
      </c>
      <c r="E206" s="107" t="s">
        <v>1277</v>
      </c>
      <c r="F206" s="107" t="s">
        <v>190</v>
      </c>
      <c r="G206" s="107" t="s">
        <v>1061</v>
      </c>
      <c r="H206" s="107" t="s">
        <v>627</v>
      </c>
      <c r="I206" s="107" t="s">
        <v>190</v>
      </c>
      <c r="J206" s="107" t="s">
        <v>190</v>
      </c>
      <c r="K206" s="107" t="s">
        <v>190</v>
      </c>
      <c r="L206" s="107" t="s">
        <v>844</v>
      </c>
      <c r="M206" s="107"/>
    </row>
    <row r="207" spans="1:13" ht="58" x14ac:dyDescent="0.35">
      <c r="A207" s="118" t="s">
        <v>364</v>
      </c>
      <c r="B207" s="107" t="s">
        <v>182</v>
      </c>
      <c r="C207" s="107" t="s">
        <v>182</v>
      </c>
      <c r="D207" s="107" t="s">
        <v>182</v>
      </c>
      <c r="E207" s="107" t="s">
        <v>1278</v>
      </c>
      <c r="F207" s="107" t="s">
        <v>182</v>
      </c>
      <c r="G207" s="107" t="s">
        <v>1062</v>
      </c>
      <c r="H207" s="107" t="s">
        <v>628</v>
      </c>
      <c r="I207" s="107" t="s">
        <v>182</v>
      </c>
      <c r="J207" s="107" t="s">
        <v>182</v>
      </c>
      <c r="K207" s="107" t="s">
        <v>182</v>
      </c>
      <c r="L207" s="107" t="s">
        <v>845</v>
      </c>
      <c r="M207" s="107"/>
    </row>
    <row r="208" spans="1:13" x14ac:dyDescent="0.35">
      <c r="A208" s="118" t="s">
        <v>400</v>
      </c>
      <c r="B208" s="107" t="s">
        <v>400</v>
      </c>
      <c r="C208" s="107" t="s">
        <v>400</v>
      </c>
      <c r="D208" s="107" t="s">
        <v>400</v>
      </c>
      <c r="E208" s="107" t="s">
        <v>1063</v>
      </c>
      <c r="F208" s="107" t="s">
        <v>400</v>
      </c>
      <c r="G208" s="107" t="s">
        <v>1064</v>
      </c>
      <c r="H208" s="107" t="s">
        <v>563</v>
      </c>
      <c r="I208" s="107" t="s">
        <v>400</v>
      </c>
      <c r="J208" s="107" t="s">
        <v>400</v>
      </c>
      <c r="K208" s="107" t="s">
        <v>400</v>
      </c>
      <c r="L208" s="107" t="s">
        <v>846</v>
      </c>
      <c r="M208" s="107"/>
    </row>
    <row r="209" spans="1:13" ht="29" x14ac:dyDescent="0.35">
      <c r="A209" s="118" t="s">
        <v>365</v>
      </c>
      <c r="B209" s="107" t="s">
        <v>128</v>
      </c>
      <c r="C209" s="107" t="s">
        <v>128</v>
      </c>
      <c r="D209" s="107" t="s">
        <v>128</v>
      </c>
      <c r="E209" s="107" t="s">
        <v>1279</v>
      </c>
      <c r="F209" s="107" t="s">
        <v>128</v>
      </c>
      <c r="G209" s="107" t="s">
        <v>1065</v>
      </c>
      <c r="H209" s="107" t="s">
        <v>629</v>
      </c>
      <c r="I209" s="107" t="s">
        <v>128</v>
      </c>
      <c r="J209" s="107" t="s">
        <v>128</v>
      </c>
      <c r="K209" s="107" t="s">
        <v>128</v>
      </c>
      <c r="L209" s="107" t="s">
        <v>847</v>
      </c>
      <c r="M209" s="107"/>
    </row>
    <row r="210" spans="1:13" x14ac:dyDescent="0.35">
      <c r="A210" s="118" t="s">
        <v>366</v>
      </c>
      <c r="B210" s="107" t="s">
        <v>19</v>
      </c>
      <c r="C210" s="107" t="s">
        <v>19</v>
      </c>
      <c r="D210" s="107" t="s">
        <v>19</v>
      </c>
      <c r="E210" s="107" t="s">
        <v>1280</v>
      </c>
      <c r="F210" s="107" t="s">
        <v>19</v>
      </c>
      <c r="G210" s="107" t="s">
        <v>1066</v>
      </c>
      <c r="H210" s="107" t="s">
        <v>630</v>
      </c>
      <c r="I210" s="107" t="s">
        <v>19</v>
      </c>
      <c r="J210" s="107" t="s">
        <v>19</v>
      </c>
      <c r="K210" s="107" t="s">
        <v>19</v>
      </c>
      <c r="L210" s="107" t="s">
        <v>848</v>
      </c>
      <c r="M210" s="107"/>
    </row>
    <row r="211" spans="1:13" ht="29" x14ac:dyDescent="0.35">
      <c r="A211" s="118" t="s">
        <v>367</v>
      </c>
      <c r="B211" s="107" t="s">
        <v>138</v>
      </c>
      <c r="C211" s="107" t="s">
        <v>138</v>
      </c>
      <c r="D211" s="107" t="s">
        <v>138</v>
      </c>
      <c r="E211" s="107" t="s">
        <v>1281</v>
      </c>
      <c r="F211" s="107" t="s">
        <v>138</v>
      </c>
      <c r="G211" s="107" t="s">
        <v>1067</v>
      </c>
      <c r="H211" s="107" t="s">
        <v>631</v>
      </c>
      <c r="I211" s="107" t="s">
        <v>138</v>
      </c>
      <c r="J211" s="107" t="s">
        <v>138</v>
      </c>
      <c r="K211" s="107" t="s">
        <v>138</v>
      </c>
      <c r="L211" s="107" t="s">
        <v>849</v>
      </c>
      <c r="M211" s="107"/>
    </row>
    <row r="212" spans="1:13" ht="29" x14ac:dyDescent="0.35">
      <c r="A212" s="118" t="s">
        <v>368</v>
      </c>
      <c r="B212" s="107" t="s">
        <v>103</v>
      </c>
      <c r="C212" s="107" t="s">
        <v>103</v>
      </c>
      <c r="D212" s="107" t="s">
        <v>103</v>
      </c>
      <c r="E212" s="107" t="s">
        <v>1282</v>
      </c>
      <c r="F212" s="107" t="s">
        <v>103</v>
      </c>
      <c r="G212" s="107" t="s">
        <v>1068</v>
      </c>
      <c r="H212" s="107" t="s">
        <v>632</v>
      </c>
      <c r="I212" s="107" t="s">
        <v>103</v>
      </c>
      <c r="J212" s="107" t="s">
        <v>103</v>
      </c>
      <c r="K212" s="107" t="s">
        <v>103</v>
      </c>
      <c r="L212" s="107" t="s">
        <v>850</v>
      </c>
      <c r="M212" s="107"/>
    </row>
    <row r="213" spans="1:13" x14ac:dyDescent="0.35">
      <c r="A213" s="118" t="s">
        <v>369</v>
      </c>
      <c r="B213" s="107" t="s">
        <v>129</v>
      </c>
      <c r="C213" s="107" t="s">
        <v>129</v>
      </c>
      <c r="D213" s="107" t="s">
        <v>129</v>
      </c>
      <c r="E213" s="107" t="s">
        <v>1283</v>
      </c>
      <c r="F213" s="107" t="s">
        <v>129</v>
      </c>
      <c r="G213" s="107" t="s">
        <v>1069</v>
      </c>
      <c r="H213" s="107" t="s">
        <v>633</v>
      </c>
      <c r="I213" s="107" t="s">
        <v>129</v>
      </c>
      <c r="J213" s="107" t="s">
        <v>129</v>
      </c>
      <c r="K213" s="107" t="s">
        <v>129</v>
      </c>
      <c r="L213" s="107" t="s">
        <v>851</v>
      </c>
      <c r="M213" s="107"/>
    </row>
    <row r="214" spans="1:13" ht="29" x14ac:dyDescent="0.35">
      <c r="A214" s="118" t="s">
        <v>370</v>
      </c>
      <c r="B214" s="107" t="s">
        <v>98</v>
      </c>
      <c r="C214" s="107" t="s">
        <v>98</v>
      </c>
      <c r="D214" s="107" t="s">
        <v>98</v>
      </c>
      <c r="E214" s="107" t="s">
        <v>1284</v>
      </c>
      <c r="F214" s="107" t="s">
        <v>98</v>
      </c>
      <c r="G214" s="107" t="s">
        <v>1070</v>
      </c>
      <c r="H214" s="107" t="s">
        <v>634</v>
      </c>
      <c r="I214" s="107" t="s">
        <v>98</v>
      </c>
      <c r="J214" s="107" t="s">
        <v>98</v>
      </c>
      <c r="K214" s="107" t="s">
        <v>98</v>
      </c>
      <c r="L214" s="107" t="s">
        <v>852</v>
      </c>
      <c r="M214" s="107"/>
    </row>
    <row r="215" spans="1:13" x14ac:dyDescent="0.35">
      <c r="A215" s="118" t="s">
        <v>371</v>
      </c>
      <c r="B215" s="107" t="s">
        <v>65</v>
      </c>
      <c r="C215" s="107" t="s">
        <v>65</v>
      </c>
      <c r="D215" s="107" t="s">
        <v>65</v>
      </c>
      <c r="E215" s="107" t="s">
        <v>1285</v>
      </c>
      <c r="F215" s="107" t="s">
        <v>65</v>
      </c>
      <c r="G215" s="107" t="s">
        <v>1071</v>
      </c>
      <c r="H215" s="107" t="s">
        <v>635</v>
      </c>
      <c r="I215" s="107" t="s">
        <v>65</v>
      </c>
      <c r="J215" s="107" t="s">
        <v>65</v>
      </c>
      <c r="K215" s="107" t="s">
        <v>65</v>
      </c>
      <c r="L215" s="107" t="s">
        <v>853</v>
      </c>
      <c r="M215" s="107"/>
    </row>
    <row r="216" spans="1:13" x14ac:dyDescent="0.35">
      <c r="A216" s="118" t="s">
        <v>224</v>
      </c>
      <c r="B216" s="107" t="s">
        <v>420</v>
      </c>
      <c r="C216" s="107" t="s">
        <v>420</v>
      </c>
      <c r="D216" s="107" t="s">
        <v>420</v>
      </c>
      <c r="E216" s="107" t="s">
        <v>1286</v>
      </c>
      <c r="F216" s="107" t="s">
        <v>420</v>
      </c>
      <c r="G216" s="107" t="s">
        <v>636</v>
      </c>
      <c r="H216" s="107" t="s">
        <v>636</v>
      </c>
      <c r="I216" s="107" t="s">
        <v>420</v>
      </c>
      <c r="J216" s="107" t="s">
        <v>420</v>
      </c>
      <c r="K216" s="107" t="s">
        <v>420</v>
      </c>
      <c r="L216" s="107" t="s">
        <v>854</v>
      </c>
    </row>
    <row r="217" spans="1:13" s="107" customFormat="1" x14ac:dyDescent="0.35">
      <c r="A217" s="118" t="s">
        <v>377</v>
      </c>
      <c r="B217" s="107" t="s">
        <v>377</v>
      </c>
      <c r="C217" s="107" t="s">
        <v>377</v>
      </c>
      <c r="D217" s="107" t="s">
        <v>377</v>
      </c>
      <c r="E217" s="107" t="s">
        <v>1072</v>
      </c>
      <c r="F217" s="107" t="s">
        <v>377</v>
      </c>
      <c r="G217" s="107" t="s">
        <v>637</v>
      </c>
      <c r="H217" s="107" t="s">
        <v>637</v>
      </c>
      <c r="I217" s="107" t="s">
        <v>377</v>
      </c>
      <c r="J217" s="107" t="s">
        <v>377</v>
      </c>
      <c r="K217" s="107" t="s">
        <v>377</v>
      </c>
      <c r="L217" s="107" t="s">
        <v>855</v>
      </c>
    </row>
    <row r="223" spans="1:13" s="107" customFormat="1" x14ac:dyDescent="0.35">
      <c r="A223" s="119" t="s">
        <v>372</v>
      </c>
      <c r="B223" s="120"/>
      <c r="C223" s="121"/>
      <c r="D223" s="121"/>
      <c r="E223" s="121"/>
      <c r="F223" s="121"/>
      <c r="G223" s="121"/>
      <c r="H223" s="121"/>
      <c r="I223" s="121"/>
      <c r="J223" s="122"/>
      <c r="K223" s="121"/>
    </row>
    <row r="224" spans="1:13" s="107" customFormat="1" x14ac:dyDescent="0.35">
      <c r="A224" s="107" t="s">
        <v>376</v>
      </c>
      <c r="B224" s="107" t="s">
        <v>377</v>
      </c>
      <c r="C224" s="107" t="s">
        <v>377</v>
      </c>
      <c r="D224" s="107" t="s">
        <v>377</v>
      </c>
      <c r="E224" s="133" t="s">
        <v>1287</v>
      </c>
      <c r="F224" s="107" t="s">
        <v>377</v>
      </c>
      <c r="G224" s="107" t="s">
        <v>1089</v>
      </c>
      <c r="H224" s="127" t="s">
        <v>637</v>
      </c>
      <c r="I224" s="107" t="s">
        <v>377</v>
      </c>
      <c r="J224" s="107" t="s">
        <v>377</v>
      </c>
      <c r="K224" s="107" t="s">
        <v>377</v>
      </c>
      <c r="L224" s="107" t="s">
        <v>855</v>
      </c>
    </row>
    <row r="225" spans="1:12" s="107" customFormat="1" x14ac:dyDescent="0.35">
      <c r="A225" s="107" t="s">
        <v>376</v>
      </c>
      <c r="B225" s="107" t="s">
        <v>174</v>
      </c>
      <c r="C225" s="107" t="s">
        <v>174</v>
      </c>
      <c r="D225" s="107" t="s">
        <v>174</v>
      </c>
      <c r="E225" s="133" t="s">
        <v>1288</v>
      </c>
      <c r="F225" s="107" t="s">
        <v>174</v>
      </c>
      <c r="G225" s="107" t="s">
        <v>1090</v>
      </c>
      <c r="H225" s="127" t="s">
        <v>569</v>
      </c>
      <c r="I225" s="107" t="s">
        <v>174</v>
      </c>
      <c r="J225" s="107" t="s">
        <v>174</v>
      </c>
      <c r="K225" s="107" t="s">
        <v>174</v>
      </c>
      <c r="L225" s="107" t="s">
        <v>781</v>
      </c>
    </row>
    <row r="226" spans="1:12" s="107" customFormat="1" x14ac:dyDescent="0.35">
      <c r="A226" s="107" t="s">
        <v>416</v>
      </c>
      <c r="B226" s="107" t="s">
        <v>373</v>
      </c>
      <c r="C226" s="107" t="s">
        <v>373</v>
      </c>
      <c r="D226" s="107" t="s">
        <v>373</v>
      </c>
      <c r="E226" s="133" t="s">
        <v>1289</v>
      </c>
      <c r="F226" s="107" t="s">
        <v>373</v>
      </c>
      <c r="G226" s="107" t="s">
        <v>1091</v>
      </c>
      <c r="H226" s="127" t="s">
        <v>638</v>
      </c>
      <c r="I226" s="107" t="s">
        <v>373</v>
      </c>
      <c r="J226" s="107" t="s">
        <v>373</v>
      </c>
      <c r="K226" s="107" t="s">
        <v>373</v>
      </c>
      <c r="L226" s="107" t="s">
        <v>856</v>
      </c>
    </row>
    <row r="227" spans="1:12" s="107" customFormat="1" x14ac:dyDescent="0.35">
      <c r="A227" s="107" t="s">
        <v>416</v>
      </c>
      <c r="B227" s="107" t="s">
        <v>374</v>
      </c>
      <c r="C227" s="107" t="s">
        <v>374</v>
      </c>
      <c r="D227" s="107" t="s">
        <v>374</v>
      </c>
      <c r="E227" s="133" t="s">
        <v>1290</v>
      </c>
      <c r="F227" s="107" t="s">
        <v>374</v>
      </c>
      <c r="G227" s="107" t="s">
        <v>1092</v>
      </c>
      <c r="H227" s="127" t="s">
        <v>639</v>
      </c>
      <c r="I227" s="107" t="s">
        <v>374</v>
      </c>
      <c r="J227" s="107" t="s">
        <v>374</v>
      </c>
      <c r="K227" s="107" t="s">
        <v>374</v>
      </c>
      <c r="L227" s="107" t="s">
        <v>857</v>
      </c>
    </row>
    <row r="228" spans="1:12" s="107" customFormat="1" x14ac:dyDescent="0.35">
      <c r="A228" s="107" t="s">
        <v>375</v>
      </c>
      <c r="B228" s="107" t="s">
        <v>163</v>
      </c>
      <c r="C228" s="107" t="s">
        <v>163</v>
      </c>
      <c r="D228" s="107" t="s">
        <v>163</v>
      </c>
      <c r="E228" s="107" t="s">
        <v>163</v>
      </c>
      <c r="F228" s="107" t="s">
        <v>163</v>
      </c>
      <c r="G228" s="107" t="s">
        <v>163</v>
      </c>
      <c r="H228" s="107" t="s">
        <v>163</v>
      </c>
      <c r="I228" s="107" t="s">
        <v>163</v>
      </c>
      <c r="J228" s="107" t="s">
        <v>163</v>
      </c>
      <c r="K228" s="107" t="s">
        <v>163</v>
      </c>
      <c r="L228" s="107" t="s">
        <v>163</v>
      </c>
    </row>
    <row r="229" spans="1:12" s="107" customFormat="1" x14ac:dyDescent="0.35">
      <c r="A229" s="107" t="s">
        <v>375</v>
      </c>
      <c r="B229" s="107" t="s">
        <v>164</v>
      </c>
      <c r="C229" s="107" t="s">
        <v>164</v>
      </c>
      <c r="D229" s="107" t="s">
        <v>164</v>
      </c>
      <c r="E229" s="107" t="s">
        <v>164</v>
      </c>
      <c r="F229" s="107" t="s">
        <v>164</v>
      </c>
      <c r="G229" s="107" t="s">
        <v>164</v>
      </c>
      <c r="H229" s="107" t="s">
        <v>164</v>
      </c>
      <c r="I229" s="107" t="s">
        <v>164</v>
      </c>
      <c r="J229" s="107" t="s">
        <v>164</v>
      </c>
      <c r="K229" s="107" t="s">
        <v>164</v>
      </c>
      <c r="L229" s="107" t="s">
        <v>164</v>
      </c>
    </row>
    <row r="230" spans="1:12" s="107" customFormat="1" x14ac:dyDescent="0.35">
      <c r="A230" s="107" t="s">
        <v>375</v>
      </c>
      <c r="B230" s="107" t="s">
        <v>165</v>
      </c>
      <c r="C230" s="107" t="s">
        <v>165</v>
      </c>
      <c r="D230" s="107" t="s">
        <v>165</v>
      </c>
      <c r="E230" s="107" t="s">
        <v>165</v>
      </c>
      <c r="F230" s="107" t="s">
        <v>165</v>
      </c>
      <c r="G230" s="107" t="s">
        <v>165</v>
      </c>
      <c r="H230" s="107" t="s">
        <v>165</v>
      </c>
      <c r="I230" s="107" t="s">
        <v>165</v>
      </c>
      <c r="J230" s="107" t="s">
        <v>165</v>
      </c>
      <c r="K230" s="107" t="s">
        <v>165</v>
      </c>
      <c r="L230" s="107" t="s">
        <v>165</v>
      </c>
    </row>
    <row r="231" spans="1:12" s="107" customFormat="1" x14ac:dyDescent="0.35">
      <c r="A231" s="107" t="s">
        <v>375</v>
      </c>
      <c r="B231" s="107" t="s">
        <v>166</v>
      </c>
      <c r="C231" s="107" t="s">
        <v>166</v>
      </c>
      <c r="D231" s="107" t="s">
        <v>166</v>
      </c>
      <c r="E231" s="107" t="s">
        <v>166</v>
      </c>
      <c r="F231" s="107" t="s">
        <v>166</v>
      </c>
      <c r="G231" s="107" t="s">
        <v>166</v>
      </c>
      <c r="H231" s="107" t="s">
        <v>166</v>
      </c>
      <c r="I231" s="107" t="s">
        <v>166</v>
      </c>
      <c r="J231" s="107" t="s">
        <v>166</v>
      </c>
      <c r="K231" s="107" t="s">
        <v>166</v>
      </c>
      <c r="L231" s="107" t="s">
        <v>166</v>
      </c>
    </row>
    <row r="232" spans="1:12" s="107" customFormat="1" x14ac:dyDescent="0.35">
      <c r="A232" s="107" t="s">
        <v>375</v>
      </c>
      <c r="B232" s="107" t="s">
        <v>167</v>
      </c>
      <c r="C232" s="107" t="s">
        <v>167</v>
      </c>
      <c r="D232" s="107" t="s">
        <v>167</v>
      </c>
      <c r="E232" s="107" t="s">
        <v>167</v>
      </c>
      <c r="F232" s="107" t="s">
        <v>167</v>
      </c>
      <c r="G232" s="107" t="s">
        <v>167</v>
      </c>
      <c r="H232" s="107" t="s">
        <v>167</v>
      </c>
      <c r="I232" s="107" t="s">
        <v>167</v>
      </c>
      <c r="J232" s="107" t="s">
        <v>167</v>
      </c>
      <c r="K232" s="107" t="s">
        <v>167</v>
      </c>
      <c r="L232" s="107" t="s">
        <v>167</v>
      </c>
    </row>
    <row r="233" spans="1:12" s="107" customFormat="1" x14ac:dyDescent="0.35">
      <c r="A233" s="107" t="s">
        <v>375</v>
      </c>
      <c r="B233" s="107" t="s">
        <v>171</v>
      </c>
      <c r="C233" s="107" t="s">
        <v>171</v>
      </c>
      <c r="D233" s="107" t="s">
        <v>171</v>
      </c>
      <c r="E233" s="107" t="s">
        <v>171</v>
      </c>
      <c r="F233" s="107" t="s">
        <v>171</v>
      </c>
      <c r="G233" s="107" t="s">
        <v>171</v>
      </c>
      <c r="H233" s="107" t="s">
        <v>171</v>
      </c>
      <c r="I233" s="107" t="s">
        <v>171</v>
      </c>
      <c r="J233" s="107" t="s">
        <v>171</v>
      </c>
      <c r="K233" s="107" t="s">
        <v>171</v>
      </c>
      <c r="L233" s="107" t="s">
        <v>171</v>
      </c>
    </row>
    <row r="234" spans="1:12" s="107" customFormat="1" x14ac:dyDescent="0.35">
      <c r="A234" s="107" t="s">
        <v>375</v>
      </c>
      <c r="B234" s="107" t="s">
        <v>172</v>
      </c>
      <c r="C234" s="107" t="s">
        <v>172</v>
      </c>
      <c r="D234" s="107" t="s">
        <v>172</v>
      </c>
      <c r="E234" s="107" t="s">
        <v>172</v>
      </c>
      <c r="F234" s="107" t="s">
        <v>172</v>
      </c>
      <c r="G234" s="107" t="s">
        <v>172</v>
      </c>
      <c r="H234" s="107" t="s">
        <v>172</v>
      </c>
      <c r="I234" s="107" t="s">
        <v>172</v>
      </c>
      <c r="J234" s="107" t="s">
        <v>172</v>
      </c>
      <c r="K234" s="107" t="s">
        <v>172</v>
      </c>
      <c r="L234" s="107" t="s">
        <v>172</v>
      </c>
    </row>
    <row r="235" spans="1:12" s="107" customFormat="1" x14ac:dyDescent="0.35">
      <c r="A235" s="107" t="s">
        <v>375</v>
      </c>
      <c r="B235" s="107" t="s">
        <v>173</v>
      </c>
      <c r="C235" s="107" t="s">
        <v>173</v>
      </c>
      <c r="D235" s="107" t="s">
        <v>173</v>
      </c>
      <c r="E235" s="107" t="s">
        <v>173</v>
      </c>
      <c r="F235" s="107" t="s">
        <v>173</v>
      </c>
      <c r="G235" s="107" t="s">
        <v>173</v>
      </c>
      <c r="H235" s="107" t="s">
        <v>173</v>
      </c>
      <c r="I235" s="107" t="s">
        <v>173</v>
      </c>
      <c r="J235" s="107" t="s">
        <v>173</v>
      </c>
      <c r="K235" s="107" t="s">
        <v>173</v>
      </c>
      <c r="L235" s="107" t="s">
        <v>173</v>
      </c>
    </row>
    <row r="236" spans="1:12" s="107" customFormat="1" x14ac:dyDescent="0.35">
      <c r="A236" s="107" t="s">
        <v>375</v>
      </c>
      <c r="B236" s="107" t="s">
        <v>168</v>
      </c>
      <c r="C236" s="107" t="s">
        <v>168</v>
      </c>
      <c r="D236" s="107" t="s">
        <v>168</v>
      </c>
      <c r="E236" s="107" t="s">
        <v>168</v>
      </c>
      <c r="F236" s="107" t="s">
        <v>168</v>
      </c>
      <c r="G236" s="107" t="s">
        <v>168</v>
      </c>
      <c r="H236" s="107" t="s">
        <v>168</v>
      </c>
      <c r="I236" s="107" t="s">
        <v>168</v>
      </c>
      <c r="J236" s="107" t="s">
        <v>168</v>
      </c>
      <c r="K236" s="107" t="s">
        <v>168</v>
      </c>
      <c r="L236" s="107" t="s">
        <v>168</v>
      </c>
    </row>
    <row r="237" spans="1:12" s="107" customFormat="1" x14ac:dyDescent="0.35">
      <c r="A237" s="107" t="s">
        <v>375</v>
      </c>
      <c r="B237" s="107" t="s">
        <v>169</v>
      </c>
      <c r="C237" s="107" t="s">
        <v>169</v>
      </c>
      <c r="D237" s="107" t="s">
        <v>169</v>
      </c>
      <c r="E237" s="107" t="s">
        <v>169</v>
      </c>
      <c r="F237" s="107" t="s">
        <v>169</v>
      </c>
      <c r="G237" s="107" t="s">
        <v>169</v>
      </c>
      <c r="H237" s="107" t="s">
        <v>169</v>
      </c>
      <c r="I237" s="107" t="s">
        <v>169</v>
      </c>
      <c r="J237" s="107" t="s">
        <v>169</v>
      </c>
      <c r="K237" s="107" t="s">
        <v>169</v>
      </c>
      <c r="L237" s="107" t="s">
        <v>169</v>
      </c>
    </row>
    <row r="238" spans="1:12" s="107" customFormat="1" x14ac:dyDescent="0.35">
      <c r="A238" s="107" t="s">
        <v>375</v>
      </c>
      <c r="B238" s="107" t="s">
        <v>170</v>
      </c>
      <c r="C238" s="107" t="s">
        <v>170</v>
      </c>
      <c r="D238" s="107" t="s">
        <v>170</v>
      </c>
      <c r="E238" s="107" t="s">
        <v>170</v>
      </c>
      <c r="F238" s="107" t="s">
        <v>170</v>
      </c>
      <c r="G238" s="107" t="s">
        <v>170</v>
      </c>
      <c r="H238" s="107" t="s">
        <v>170</v>
      </c>
      <c r="I238" s="107" t="s">
        <v>170</v>
      </c>
      <c r="J238" s="107" t="s">
        <v>170</v>
      </c>
      <c r="K238" s="107" t="s">
        <v>170</v>
      </c>
      <c r="L238" s="107" t="s">
        <v>170</v>
      </c>
    </row>
    <row r="239" spans="1:12" x14ac:dyDescent="0.35">
      <c r="A239" s="107" t="s">
        <v>380</v>
      </c>
      <c r="B239" s="107" t="s">
        <v>378</v>
      </c>
      <c r="C239" s="107" t="s">
        <v>378</v>
      </c>
      <c r="D239" s="107" t="s">
        <v>378</v>
      </c>
      <c r="E239" s="133" t="s">
        <v>1291</v>
      </c>
      <c r="F239" s="107" t="s">
        <v>378</v>
      </c>
      <c r="G239" s="107" t="s">
        <v>378</v>
      </c>
      <c r="H239" s="107" t="s">
        <v>378</v>
      </c>
      <c r="I239" s="107" t="s">
        <v>378</v>
      </c>
      <c r="J239" s="107" t="s">
        <v>378</v>
      </c>
      <c r="K239" s="107" t="s">
        <v>378</v>
      </c>
      <c r="L239" s="107" t="s">
        <v>836</v>
      </c>
    </row>
    <row r="240" spans="1:12" x14ac:dyDescent="0.35">
      <c r="A240" s="107" t="s">
        <v>380</v>
      </c>
      <c r="B240" s="107" t="s">
        <v>379</v>
      </c>
      <c r="C240" s="107" t="s">
        <v>379</v>
      </c>
      <c r="D240" s="107" t="s">
        <v>379</v>
      </c>
      <c r="E240" s="133" t="s">
        <v>1292</v>
      </c>
      <c r="F240" s="107" t="s">
        <v>379</v>
      </c>
      <c r="G240" s="107" t="s">
        <v>1093</v>
      </c>
      <c r="H240" s="128" t="s">
        <v>457</v>
      </c>
      <c r="I240" s="107" t="s">
        <v>379</v>
      </c>
      <c r="J240" s="107" t="s">
        <v>379</v>
      </c>
      <c r="K240" s="107" t="s">
        <v>379</v>
      </c>
      <c r="L240" s="107" t="s">
        <v>664</v>
      </c>
    </row>
    <row r="241" spans="1:12" x14ac:dyDescent="0.35">
      <c r="A241" s="107" t="s">
        <v>381</v>
      </c>
      <c r="B241" s="107" t="s">
        <v>383</v>
      </c>
      <c r="C241" s="107" t="s">
        <v>383</v>
      </c>
      <c r="D241" s="107" t="s">
        <v>383</v>
      </c>
      <c r="E241" s="133" t="s">
        <v>1293</v>
      </c>
      <c r="F241" s="107" t="s">
        <v>383</v>
      </c>
      <c r="G241" s="107" t="s">
        <v>1094</v>
      </c>
      <c r="H241" s="128" t="s">
        <v>465</v>
      </c>
      <c r="I241" s="107" t="s">
        <v>383</v>
      </c>
      <c r="J241" s="107" t="s">
        <v>383</v>
      </c>
      <c r="K241" s="107" t="s">
        <v>383</v>
      </c>
      <c r="L241" s="107" t="s">
        <v>672</v>
      </c>
    </row>
    <row r="242" spans="1:12" ht="29" x14ac:dyDescent="0.35">
      <c r="A242" s="107" t="s">
        <v>381</v>
      </c>
      <c r="B242" s="107" t="s">
        <v>384</v>
      </c>
      <c r="C242" s="107" t="s">
        <v>384</v>
      </c>
      <c r="D242" s="107" t="s">
        <v>384</v>
      </c>
      <c r="E242" s="133" t="s">
        <v>1075</v>
      </c>
      <c r="F242" s="107" t="s">
        <v>384</v>
      </c>
      <c r="G242" s="107" t="s">
        <v>1095</v>
      </c>
      <c r="H242" s="129" t="s">
        <v>550</v>
      </c>
      <c r="I242" s="107" t="s">
        <v>384</v>
      </c>
      <c r="J242" s="107" t="s">
        <v>384</v>
      </c>
      <c r="K242" s="107" t="s">
        <v>384</v>
      </c>
      <c r="L242" s="107" t="s">
        <v>758</v>
      </c>
    </row>
    <row r="243" spans="1:12" x14ac:dyDescent="0.35">
      <c r="A243" s="107" t="s">
        <v>381</v>
      </c>
      <c r="B243" s="107" t="s">
        <v>382</v>
      </c>
      <c r="C243" s="107" t="s">
        <v>382</v>
      </c>
      <c r="D243" s="107" t="s">
        <v>382</v>
      </c>
      <c r="E243" s="133" t="s">
        <v>1244</v>
      </c>
      <c r="F243" s="107" t="s">
        <v>382</v>
      </c>
      <c r="G243" s="107" t="s">
        <v>1096</v>
      </c>
      <c r="H243" s="128" t="s">
        <v>640</v>
      </c>
      <c r="I243" s="107" t="s">
        <v>382</v>
      </c>
      <c r="J243" s="107" t="s">
        <v>382</v>
      </c>
      <c r="K243" s="107" t="s">
        <v>382</v>
      </c>
      <c r="L243" s="107" t="s">
        <v>809</v>
      </c>
    </row>
    <row r="244" spans="1:12" ht="15" x14ac:dyDescent="0.35">
      <c r="A244" s="107" t="s">
        <v>398</v>
      </c>
      <c r="B244" s="107" t="s">
        <v>391</v>
      </c>
      <c r="C244" s="107" t="s">
        <v>391</v>
      </c>
      <c r="D244" s="107" t="s">
        <v>391</v>
      </c>
      <c r="E244" s="133" t="s">
        <v>1294</v>
      </c>
      <c r="F244" s="107" t="s">
        <v>391</v>
      </c>
      <c r="G244" s="132" t="s">
        <v>1080</v>
      </c>
      <c r="H244" s="128" t="s">
        <v>1086</v>
      </c>
      <c r="I244" s="107" t="s">
        <v>391</v>
      </c>
      <c r="J244" s="107" t="s">
        <v>391</v>
      </c>
      <c r="K244" s="107" t="s">
        <v>391</v>
      </c>
      <c r="L244" s="107" t="s">
        <v>768</v>
      </c>
    </row>
    <row r="245" spans="1:12" ht="15" x14ac:dyDescent="0.35">
      <c r="A245" s="107" t="s">
        <v>398</v>
      </c>
      <c r="B245" s="107" t="s">
        <v>392</v>
      </c>
      <c r="C245" s="107" t="s">
        <v>392</v>
      </c>
      <c r="D245" s="107" t="s">
        <v>392</v>
      </c>
      <c r="E245" s="133" t="s">
        <v>1295</v>
      </c>
      <c r="F245" s="107" t="s">
        <v>392</v>
      </c>
      <c r="G245" s="131" t="s">
        <v>1081</v>
      </c>
      <c r="H245" s="128" t="s">
        <v>641</v>
      </c>
      <c r="I245" s="107" t="s">
        <v>392</v>
      </c>
      <c r="J245" s="107" t="s">
        <v>392</v>
      </c>
      <c r="K245" s="107" t="s">
        <v>392</v>
      </c>
      <c r="L245" s="107" t="s">
        <v>769</v>
      </c>
    </row>
    <row r="246" spans="1:12" ht="15" x14ac:dyDescent="0.35">
      <c r="A246" s="107" t="s">
        <v>398</v>
      </c>
      <c r="B246" s="107" t="s">
        <v>390</v>
      </c>
      <c r="C246" s="107" t="s">
        <v>390</v>
      </c>
      <c r="D246" s="107" t="s">
        <v>390</v>
      </c>
      <c r="E246" s="133" t="s">
        <v>988</v>
      </c>
      <c r="F246" s="107" t="s">
        <v>390</v>
      </c>
      <c r="G246" s="131" t="s">
        <v>989</v>
      </c>
      <c r="H246" s="128" t="s">
        <v>642</v>
      </c>
      <c r="I246" s="107" t="s">
        <v>390</v>
      </c>
      <c r="J246" s="107" t="s">
        <v>390</v>
      </c>
      <c r="K246" s="107" t="s">
        <v>390</v>
      </c>
      <c r="L246" s="107" t="s">
        <v>772</v>
      </c>
    </row>
    <row r="247" spans="1:12" x14ac:dyDescent="0.35">
      <c r="A247" s="107" t="s">
        <v>398</v>
      </c>
      <c r="B247" s="107" t="s">
        <v>389</v>
      </c>
      <c r="C247" s="107" t="s">
        <v>389</v>
      </c>
      <c r="D247" s="107" t="s">
        <v>389</v>
      </c>
      <c r="E247" s="133" t="s">
        <v>990</v>
      </c>
      <c r="F247" s="107" t="s">
        <v>389</v>
      </c>
      <c r="G247" s="107" t="s">
        <v>1097</v>
      </c>
      <c r="H247" s="128" t="s">
        <v>643</v>
      </c>
      <c r="I247" s="107" t="s">
        <v>389</v>
      </c>
      <c r="J247" s="107" t="s">
        <v>389</v>
      </c>
      <c r="K247" s="107" t="s">
        <v>389</v>
      </c>
      <c r="L247" s="107" t="s">
        <v>773</v>
      </c>
    </row>
    <row r="248" spans="1:12" x14ac:dyDescent="0.35">
      <c r="A248" s="107" t="s">
        <v>397</v>
      </c>
      <c r="B248" s="107" t="s">
        <v>405</v>
      </c>
      <c r="C248" s="107" t="s">
        <v>405</v>
      </c>
      <c r="D248" s="107" t="s">
        <v>405</v>
      </c>
      <c r="E248" s="133" t="s">
        <v>992</v>
      </c>
      <c r="F248" s="107" t="s">
        <v>405</v>
      </c>
      <c r="G248" s="107" t="s">
        <v>1098</v>
      </c>
      <c r="H248" s="128" t="s">
        <v>562</v>
      </c>
      <c r="I248" s="107" t="s">
        <v>405</v>
      </c>
      <c r="J248" s="107" t="s">
        <v>405</v>
      </c>
      <c r="K248" s="107" t="s">
        <v>405</v>
      </c>
      <c r="L248" s="107" t="s">
        <v>774</v>
      </c>
    </row>
    <row r="249" spans="1:12" x14ac:dyDescent="0.35">
      <c r="A249" s="107" t="s">
        <v>397</v>
      </c>
      <c r="B249" s="107" t="s">
        <v>399</v>
      </c>
      <c r="C249" s="107" t="s">
        <v>399</v>
      </c>
      <c r="D249" s="107" t="s">
        <v>399</v>
      </c>
      <c r="E249" s="133" t="s">
        <v>1296</v>
      </c>
      <c r="F249" s="107" t="s">
        <v>399</v>
      </c>
      <c r="G249" s="107" t="s">
        <v>1099</v>
      </c>
      <c r="H249" s="128" t="s">
        <v>644</v>
      </c>
      <c r="I249" s="107" t="s">
        <v>399</v>
      </c>
      <c r="J249" s="107" t="s">
        <v>399</v>
      </c>
      <c r="K249" s="107" t="s">
        <v>399</v>
      </c>
      <c r="L249" s="107" t="s">
        <v>684</v>
      </c>
    </row>
    <row r="250" spans="1:12" ht="15" x14ac:dyDescent="0.35">
      <c r="A250" s="107" t="s">
        <v>397</v>
      </c>
      <c r="B250" s="107" t="s">
        <v>400</v>
      </c>
      <c r="C250" s="107" t="s">
        <v>400</v>
      </c>
      <c r="D250" s="107" t="s">
        <v>400</v>
      </c>
      <c r="E250" s="133" t="s">
        <v>1297</v>
      </c>
      <c r="F250" s="107" t="s">
        <v>400</v>
      </c>
      <c r="G250" s="131" t="s">
        <v>1064</v>
      </c>
      <c r="H250" s="128" t="s">
        <v>563</v>
      </c>
      <c r="I250" s="107" t="s">
        <v>400</v>
      </c>
      <c r="J250" s="107" t="s">
        <v>400</v>
      </c>
      <c r="K250" s="107" t="s">
        <v>400</v>
      </c>
      <c r="L250" s="107" t="s">
        <v>846</v>
      </c>
    </row>
    <row r="251" spans="1:12" x14ac:dyDescent="0.35">
      <c r="A251" s="107" t="s">
        <v>397</v>
      </c>
      <c r="B251" s="107" t="s">
        <v>401</v>
      </c>
      <c r="C251" s="107" t="s">
        <v>401</v>
      </c>
      <c r="D251" s="107" t="s">
        <v>401</v>
      </c>
      <c r="E251" s="133" t="s">
        <v>1298</v>
      </c>
      <c r="F251" s="107" t="s">
        <v>401</v>
      </c>
      <c r="G251" s="107" t="s">
        <v>1100</v>
      </c>
      <c r="H251" s="128" t="s">
        <v>645</v>
      </c>
      <c r="I251" s="107" t="s">
        <v>401</v>
      </c>
      <c r="J251" s="107" t="s">
        <v>401</v>
      </c>
      <c r="K251" s="107" t="s">
        <v>401</v>
      </c>
      <c r="L251" s="107" t="s">
        <v>775</v>
      </c>
    </row>
    <row r="252" spans="1:12" x14ac:dyDescent="0.35">
      <c r="A252" s="107" t="s">
        <v>397</v>
      </c>
      <c r="B252" s="107" t="s">
        <v>402</v>
      </c>
      <c r="C252" s="107" t="s">
        <v>402</v>
      </c>
      <c r="D252" s="107" t="s">
        <v>402</v>
      </c>
      <c r="E252" s="133" t="s">
        <v>1299</v>
      </c>
      <c r="F252" s="107" t="s">
        <v>402</v>
      </c>
      <c r="G252" s="107" t="s">
        <v>1101</v>
      </c>
      <c r="H252" s="128" t="s">
        <v>584</v>
      </c>
      <c r="I252" s="107" t="s">
        <v>402</v>
      </c>
      <c r="J252" s="107" t="s">
        <v>402</v>
      </c>
      <c r="K252" s="107" t="s">
        <v>402</v>
      </c>
      <c r="L252" s="107" t="s">
        <v>797</v>
      </c>
    </row>
    <row r="253" spans="1:12" x14ac:dyDescent="0.35">
      <c r="A253" s="107" t="s">
        <v>397</v>
      </c>
      <c r="B253" s="107" t="s">
        <v>403</v>
      </c>
      <c r="C253" s="107" t="s">
        <v>403</v>
      </c>
      <c r="D253" s="107" t="s">
        <v>403</v>
      </c>
      <c r="E253" s="133" t="s">
        <v>1300</v>
      </c>
      <c r="F253" s="107" t="s">
        <v>403</v>
      </c>
      <c r="G253" s="107" t="s">
        <v>1102</v>
      </c>
      <c r="H253" s="128" t="s">
        <v>458</v>
      </c>
      <c r="I253" s="107" t="s">
        <v>403</v>
      </c>
      <c r="J253" s="107" t="s">
        <v>403</v>
      </c>
      <c r="K253" s="107" t="s">
        <v>403</v>
      </c>
      <c r="L253" s="107" t="s">
        <v>665</v>
      </c>
    </row>
    <row r="254" spans="1:12" x14ac:dyDescent="0.35">
      <c r="A254" s="107" t="s">
        <v>397</v>
      </c>
      <c r="B254" s="107" t="s">
        <v>404</v>
      </c>
      <c r="C254" s="107" t="s">
        <v>404</v>
      </c>
      <c r="D254" s="107" t="s">
        <v>404</v>
      </c>
      <c r="E254" s="133" t="s">
        <v>1292</v>
      </c>
      <c r="F254" s="107" t="s">
        <v>404</v>
      </c>
      <c r="G254" s="107" t="s">
        <v>1093</v>
      </c>
      <c r="H254" s="128" t="s">
        <v>578</v>
      </c>
      <c r="I254" s="107" t="s">
        <v>404</v>
      </c>
      <c r="J254" s="107" t="s">
        <v>404</v>
      </c>
      <c r="K254" s="107" t="s">
        <v>404</v>
      </c>
      <c r="L254" s="107" t="s">
        <v>791</v>
      </c>
    </row>
    <row r="255" spans="1:12" x14ac:dyDescent="0.35">
      <c r="A255" s="107" t="s">
        <v>409</v>
      </c>
      <c r="B255" s="107" t="s">
        <v>407</v>
      </c>
      <c r="C255" s="107" t="s">
        <v>407</v>
      </c>
      <c r="D255" s="107" t="s">
        <v>407</v>
      </c>
      <c r="E255" s="133" t="s">
        <v>1301</v>
      </c>
      <c r="F255" s="107" t="s">
        <v>407</v>
      </c>
      <c r="G255" s="107" t="s">
        <v>1103</v>
      </c>
      <c r="H255" s="128" t="s">
        <v>646</v>
      </c>
      <c r="I255" s="107" t="s">
        <v>407</v>
      </c>
      <c r="J255" s="107" t="s">
        <v>407</v>
      </c>
      <c r="K255" s="107" t="s">
        <v>407</v>
      </c>
      <c r="L255" s="107" t="s">
        <v>858</v>
      </c>
    </row>
    <row r="256" spans="1:12" x14ac:dyDescent="0.35">
      <c r="A256" s="107" t="s">
        <v>409</v>
      </c>
      <c r="B256" s="107" t="s">
        <v>408</v>
      </c>
      <c r="C256" s="107" t="s">
        <v>408</v>
      </c>
      <c r="D256" s="107" t="s">
        <v>408</v>
      </c>
      <c r="E256" s="133" t="s">
        <v>1302</v>
      </c>
      <c r="F256" s="107" t="s">
        <v>408</v>
      </c>
      <c r="G256" s="107" t="s">
        <v>1104</v>
      </c>
      <c r="H256" s="128" t="s">
        <v>647</v>
      </c>
      <c r="I256" s="107" t="s">
        <v>408</v>
      </c>
      <c r="J256" s="107" t="s">
        <v>408</v>
      </c>
      <c r="K256" s="107" t="s">
        <v>408</v>
      </c>
      <c r="L256" s="107" t="s">
        <v>859</v>
      </c>
    </row>
    <row r="257" spans="1:12" x14ac:dyDescent="0.35">
      <c r="A257" s="107" t="s">
        <v>412</v>
      </c>
      <c r="B257" s="107" t="s">
        <v>410</v>
      </c>
      <c r="C257" s="107" t="s">
        <v>410</v>
      </c>
      <c r="D257" s="107" t="s">
        <v>410</v>
      </c>
      <c r="E257" s="133" t="s">
        <v>1303</v>
      </c>
      <c r="F257" s="107" t="s">
        <v>410</v>
      </c>
      <c r="G257" s="130" t="s">
        <v>1105</v>
      </c>
      <c r="H257" s="128" t="s">
        <v>648</v>
      </c>
      <c r="I257" s="107" t="s">
        <v>410</v>
      </c>
      <c r="J257" s="107" t="s">
        <v>410</v>
      </c>
      <c r="K257" s="107" t="s">
        <v>410</v>
      </c>
      <c r="L257" s="107" t="s">
        <v>860</v>
      </c>
    </row>
    <row r="258" spans="1:12" x14ac:dyDescent="0.35">
      <c r="A258" s="107" t="s">
        <v>412</v>
      </c>
      <c r="B258" s="107" t="s">
        <v>411</v>
      </c>
      <c r="C258" s="107" t="s">
        <v>411</v>
      </c>
      <c r="D258" s="107" t="s">
        <v>411</v>
      </c>
      <c r="E258" s="133" t="s">
        <v>1304</v>
      </c>
      <c r="F258" s="107" t="s">
        <v>411</v>
      </c>
      <c r="G258" s="107" t="s">
        <v>411</v>
      </c>
      <c r="H258" s="128" t="s">
        <v>649</v>
      </c>
      <c r="I258" s="107" t="s">
        <v>411</v>
      </c>
      <c r="J258" s="107" t="s">
        <v>411</v>
      </c>
      <c r="K258" s="107" t="s">
        <v>411</v>
      </c>
      <c r="L258" s="107" t="s">
        <v>861</v>
      </c>
    </row>
  </sheetData>
  <sortState ref="A2:L217">
    <sortCondition ref="B2:B217"/>
  </sortState>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OC">
    <outlinePr summaryBelow="0"/>
    <pageSetUpPr fitToPage="1"/>
  </sheetPr>
  <dimension ref="A1:AA414"/>
  <sheetViews>
    <sheetView tabSelected="1" topLeftCell="B1" zoomScaleNormal="100" zoomScaleSheetLayoutView="100" zoomScalePageLayoutView="115" workbookViewId="0">
      <pane ySplit="6" topLeftCell="A215" activePane="bottomLeft" state="frozen"/>
      <selection activeCell="A5" sqref="A5"/>
      <selection pane="bottomLeft" activeCell="C215" sqref="C215:L215"/>
    </sheetView>
  </sheetViews>
  <sheetFormatPr defaultColWidth="0" defaultRowHeight="14.5" zeroHeight="1" outlineLevelRow="1" x14ac:dyDescent="0.35"/>
  <cols>
    <col min="1" max="1" width="6.453125" customWidth="1"/>
    <col min="2" max="2" width="10.1796875" customWidth="1"/>
    <col min="3" max="3" width="25.26953125" customWidth="1"/>
    <col min="4" max="4" width="2.26953125" customWidth="1"/>
    <col min="5" max="5" width="17.453125" customWidth="1"/>
    <col min="6" max="6" width="17.81640625" customWidth="1"/>
    <col min="7" max="7" width="12.26953125" customWidth="1"/>
    <col min="8" max="8" width="11.81640625" customWidth="1"/>
    <col min="9" max="9" width="11.1796875" customWidth="1"/>
    <col min="10" max="12" width="8.7265625" customWidth="1"/>
    <col min="13" max="15" width="9.1796875" customWidth="1"/>
    <col min="16" max="16" width="3.54296875" customWidth="1"/>
    <col min="17" max="26" width="9.1796875" hidden="1" customWidth="1"/>
    <col min="27" max="27" width="50.7265625" hidden="1" customWidth="1"/>
    <col min="28" max="16384" width="9.1796875" hidden="1"/>
  </cols>
  <sheetData>
    <row r="1" spans="1:18" ht="15.65" customHeight="1" x14ac:dyDescent="0.35">
      <c r="A1" s="197" t="e">
        <f ca="1">translate("WPRef3", CurrentLanguage)</f>
        <v>#NAME?</v>
      </c>
      <c r="B1" s="198"/>
      <c r="C1" s="79" t="s">
        <v>1374</v>
      </c>
      <c r="D1" s="2"/>
      <c r="E1" s="189" t="e">
        <f ca="1">translate("TestOfCont", CurrentLanguage)</f>
        <v>#NAME?</v>
      </c>
      <c r="F1" s="190"/>
      <c r="G1" s="191" t="s">
        <v>1312</v>
      </c>
      <c r="H1" s="192"/>
      <c r="I1" s="192"/>
      <c r="J1" s="192"/>
      <c r="K1" s="192"/>
      <c r="L1" s="192"/>
      <c r="M1" s="192"/>
      <c r="N1" s="192"/>
      <c r="O1" s="193"/>
      <c r="P1" s="3"/>
      <c r="R1" t="s">
        <v>163</v>
      </c>
    </row>
    <row r="2" spans="1:18" ht="15.65" customHeight="1" x14ac:dyDescent="0.35">
      <c r="A2" s="197" t="e">
        <f ca="1">translate("EntityName", CurrentLanguage)</f>
        <v>#NAME?</v>
      </c>
      <c r="B2" s="198"/>
      <c r="C2" s="79" t="s">
        <v>1310</v>
      </c>
      <c r="D2" s="2"/>
      <c r="E2" s="197" t="e">
        <f ca="1">translate("RelatedSCOT", CurrentLanguage)</f>
        <v>#NAME?</v>
      </c>
      <c r="F2" s="291"/>
      <c r="G2" s="194" t="s">
        <v>1313</v>
      </c>
      <c r="H2" s="195"/>
      <c r="I2" s="195"/>
      <c r="J2" s="195"/>
      <c r="K2" s="195"/>
      <c r="L2" s="195"/>
      <c r="M2" s="195"/>
      <c r="N2" s="195"/>
      <c r="O2" s="196"/>
      <c r="P2" s="3"/>
      <c r="R2" t="s">
        <v>166</v>
      </c>
    </row>
    <row r="3" spans="1:18" ht="15.65" customHeight="1" x14ac:dyDescent="0.35">
      <c r="A3" s="197" t="e">
        <f ca="1">translate("ApplicableGAAS", CurrentLanguage)</f>
        <v>#NAME?</v>
      </c>
      <c r="B3" s="198"/>
      <c r="C3" s="1" t="s">
        <v>379</v>
      </c>
      <c r="D3" s="2"/>
      <c r="E3" s="197" t="e">
        <f ca="1">translate("NatureEngage", CurrentLanguage)</f>
        <v>#NAME?</v>
      </c>
      <c r="F3" s="198"/>
      <c r="G3" s="194" t="s">
        <v>383</v>
      </c>
      <c r="H3" s="195"/>
      <c r="I3" s="195"/>
      <c r="J3" s="195"/>
      <c r="K3" s="195"/>
      <c r="L3" s="195"/>
      <c r="M3" s="195"/>
      <c r="N3" s="195"/>
      <c r="O3" s="196"/>
      <c r="P3" s="3"/>
    </row>
    <row r="4" spans="1:18" ht="15.65" customHeight="1" x14ac:dyDescent="0.35">
      <c r="A4" s="197" t="e">
        <f ca="1">translate("Date", CurrentLanguage)</f>
        <v>#NAME?</v>
      </c>
      <c r="B4" s="198"/>
      <c r="C4" s="111" t="s">
        <v>1311</v>
      </c>
      <c r="D4" s="2"/>
      <c r="E4" s="197" t="e">
        <f ca="1">translate("OpEffConclude", CurrentLanguage)</f>
        <v>#NAME?</v>
      </c>
      <c r="F4" s="198"/>
      <c r="G4" s="199" t="e">
        <f ca="1">IF(ISBLANK(G249),translate("TBD", CurrentLanguage),G249)</f>
        <v>#NAME?</v>
      </c>
      <c r="H4" s="200"/>
      <c r="I4" s="200"/>
      <c r="J4" s="201"/>
      <c r="K4" s="4" t="e">
        <f ca="1">translate("DoNotedit", CurrentLanguage)</f>
        <v>#NAME?</v>
      </c>
      <c r="L4" s="3"/>
      <c r="M4" s="3"/>
      <c r="N4" s="3"/>
      <c r="O4" s="3"/>
      <c r="P4" s="3"/>
    </row>
    <row r="5" spans="1:18" ht="15.65" customHeight="1" x14ac:dyDescent="0.35">
      <c r="A5" s="197" t="e">
        <f ca="1">translate("TranslateTo", CurrentLanguage)</f>
        <v>#NAME?</v>
      </c>
      <c r="B5" s="198"/>
      <c r="C5" s="111" t="s">
        <v>163</v>
      </c>
      <c r="D5" s="123"/>
      <c r="E5" s="105"/>
      <c r="F5" s="105"/>
      <c r="G5" s="105"/>
      <c r="H5" s="105"/>
      <c r="I5" s="105"/>
      <c r="J5" s="105"/>
      <c r="K5" s="105"/>
      <c r="L5" s="105"/>
      <c r="M5" s="105"/>
      <c r="N5" s="105"/>
      <c r="O5" s="105"/>
      <c r="P5" s="3"/>
    </row>
    <row r="6" spans="1:18" ht="6.75" customHeight="1" x14ac:dyDescent="0.35">
      <c r="A6" s="5"/>
      <c r="B6" s="5"/>
      <c r="C6" s="5"/>
      <c r="D6" s="5"/>
      <c r="E6" s="5"/>
      <c r="F6" s="5"/>
      <c r="G6" s="5"/>
      <c r="H6" s="5"/>
      <c r="I6" s="5"/>
      <c r="J6" s="5"/>
      <c r="K6" s="5"/>
      <c r="L6" s="5"/>
      <c r="M6" s="5"/>
      <c r="N6" s="5"/>
      <c r="O6" s="5"/>
      <c r="P6" s="5"/>
    </row>
    <row r="7" spans="1:18" ht="6" customHeight="1" x14ac:dyDescent="0.35">
      <c r="A7" s="5"/>
      <c r="B7" s="5"/>
      <c r="C7" s="5"/>
      <c r="D7" s="5"/>
      <c r="E7" s="5"/>
      <c r="F7" s="5"/>
      <c r="G7" s="5"/>
      <c r="H7" s="5"/>
      <c r="I7" s="5"/>
      <c r="J7" s="5"/>
      <c r="K7" s="5"/>
      <c r="L7" s="5"/>
      <c r="M7" s="5"/>
      <c r="N7" s="5"/>
      <c r="O7" s="5"/>
      <c r="P7" s="5"/>
    </row>
    <row r="8" spans="1:18" ht="16.5" customHeight="1" x14ac:dyDescent="0.35">
      <c r="A8" s="233" t="e">
        <f ca="1">translate("InformationAboutCon", CurrentLanguage)</f>
        <v>#NAME?</v>
      </c>
      <c r="B8" s="234"/>
      <c r="C8" s="234"/>
      <c r="D8" s="234"/>
      <c r="E8" s="234"/>
      <c r="F8" s="234"/>
      <c r="G8" s="234"/>
      <c r="H8" s="234"/>
      <c r="I8" s="234"/>
      <c r="J8" s="234"/>
      <c r="K8" s="234"/>
      <c r="L8" s="234"/>
      <c r="M8" s="234"/>
      <c r="N8" s="234"/>
      <c r="O8" s="234"/>
      <c r="P8" s="3"/>
    </row>
    <row r="9" spans="1:18" ht="8.25" customHeight="1" x14ac:dyDescent="0.35">
      <c r="A9" s="6"/>
      <c r="B9" s="103"/>
      <c r="C9" s="6"/>
      <c r="D9" s="6"/>
      <c r="E9" s="7"/>
      <c r="F9" s="7"/>
      <c r="G9" s="7"/>
      <c r="H9" s="7"/>
      <c r="I9" s="7"/>
      <c r="J9" s="7"/>
      <c r="K9" s="7"/>
      <c r="L9" s="7"/>
      <c r="M9" s="8"/>
      <c r="N9" s="8"/>
      <c r="O9" s="8"/>
      <c r="P9" s="8"/>
    </row>
    <row r="10" spans="1:18" ht="20.149999999999999" customHeight="1" x14ac:dyDescent="0.35">
      <c r="A10" s="8"/>
      <c r="B10" s="288" t="e">
        <f ca="1">translate("WPRefSCOT", CurrentLanguage)</f>
        <v>#NAME?</v>
      </c>
      <c r="C10" s="289"/>
      <c r="D10" s="289"/>
      <c r="E10" s="289"/>
      <c r="F10" s="290"/>
      <c r="G10" s="295" t="s">
        <v>1375</v>
      </c>
      <c r="H10" s="296"/>
      <c r="I10" s="8"/>
      <c r="J10" s="8"/>
      <c r="K10" s="8"/>
      <c r="L10" s="8"/>
      <c r="M10" s="8"/>
      <c r="N10" s="8"/>
      <c r="O10" s="8"/>
      <c r="P10" s="8"/>
    </row>
    <row r="11" spans="1:18" ht="112.5" customHeight="1" x14ac:dyDescent="0.35">
      <c r="A11" s="9"/>
      <c r="B11" s="170" t="e">
        <f ca="1">translate("ControlDesc", CurrentLanguage)</f>
        <v>#NAME?</v>
      </c>
      <c r="C11" s="172"/>
      <c r="D11" s="205" t="s">
        <v>1403</v>
      </c>
      <c r="E11" s="208"/>
      <c r="F11" s="208"/>
      <c r="G11" s="208"/>
      <c r="H11" s="208"/>
      <c r="I11" s="208"/>
      <c r="J11" s="208"/>
      <c r="K11" s="208"/>
      <c r="L11" s="208"/>
      <c r="M11" s="208"/>
      <c r="N11" s="208"/>
      <c r="O11" s="206"/>
      <c r="P11" s="9"/>
    </row>
    <row r="12" spans="1:18" ht="7.5" customHeight="1" x14ac:dyDescent="0.35">
      <c r="A12" s="8"/>
      <c r="B12" s="9"/>
      <c r="C12" s="8"/>
      <c r="D12" s="8"/>
      <c r="E12" s="8"/>
      <c r="F12" s="8"/>
      <c r="G12" s="10"/>
      <c r="H12" s="8"/>
      <c r="I12" s="8"/>
      <c r="J12" s="8"/>
      <c r="K12" s="8"/>
      <c r="L12" s="8"/>
      <c r="M12" s="8"/>
      <c r="N12" s="8"/>
      <c r="O12" s="8"/>
      <c r="P12" s="8"/>
    </row>
    <row r="13" spans="1:18" ht="20.149999999999999" customHeight="1" x14ac:dyDescent="0.35">
      <c r="A13" s="8"/>
      <c r="B13" s="232" t="e">
        <f ca="1">translate("ControlType", CurrentLanguage)</f>
        <v>#NAME?</v>
      </c>
      <c r="C13" s="232"/>
      <c r="D13" s="205" t="s">
        <v>392</v>
      </c>
      <c r="E13" s="208"/>
      <c r="F13" s="206"/>
      <c r="G13" s="232" t="e">
        <f ca="1">translate("Frequency", CurrentLanguage)</f>
        <v>#NAME?</v>
      </c>
      <c r="H13" s="232"/>
      <c r="I13" s="232"/>
      <c r="J13" s="205" t="s">
        <v>405</v>
      </c>
      <c r="K13" s="208"/>
      <c r="L13" s="206"/>
      <c r="M13" s="8"/>
      <c r="N13" s="8"/>
      <c r="O13" s="8"/>
      <c r="P13" s="8"/>
    </row>
    <row r="14" spans="1:18" ht="20.149999999999999" customHeight="1" x14ac:dyDescent="0.35">
      <c r="A14" s="8"/>
      <c r="B14" s="232" t="e">
        <f ca="1">translate("ReviewControl", CurrentLanguage)</f>
        <v>#NAME?</v>
      </c>
      <c r="C14" s="232"/>
      <c r="D14" s="205" t="s">
        <v>377</v>
      </c>
      <c r="E14" s="208"/>
      <c r="F14" s="206"/>
      <c r="G14" s="232" t="e">
        <f ca="1">translate("RelatedITApps", CurrentLanguage)</f>
        <v>#NAME?</v>
      </c>
      <c r="H14" s="232"/>
      <c r="I14" s="232"/>
      <c r="J14" s="205" t="s">
        <v>1314</v>
      </c>
      <c r="K14" s="208"/>
      <c r="L14" s="206"/>
      <c r="M14" s="11"/>
      <c r="N14" s="8"/>
      <c r="O14" s="8"/>
      <c r="P14" s="8"/>
    </row>
    <row r="15" spans="1:18" ht="9.75" customHeight="1" x14ac:dyDescent="0.35">
      <c r="A15" s="12"/>
      <c r="B15" s="13"/>
      <c r="C15" s="13"/>
      <c r="D15" s="13"/>
      <c r="E15" s="13"/>
      <c r="F15" s="13"/>
      <c r="G15" s="13"/>
      <c r="H15" s="13"/>
      <c r="I15" s="13"/>
      <c r="J15" s="14"/>
      <c r="K15" s="14"/>
      <c r="L15" s="14"/>
      <c r="M15" s="12"/>
      <c r="N15" s="12"/>
      <c r="O15" s="12"/>
      <c r="P15" s="12"/>
    </row>
    <row r="16" spans="1:18" ht="83.25" customHeight="1" x14ac:dyDescent="0.35">
      <c r="A16" s="12"/>
      <c r="B16" s="170" t="e">
        <f ca="1">translate("MultipleInstances", CurrentLanguage)</f>
        <v>#NAME?</v>
      </c>
      <c r="C16" s="171"/>
      <c r="D16" s="171"/>
      <c r="E16" s="172"/>
      <c r="F16" s="153" t="s">
        <v>1316</v>
      </c>
      <c r="G16" s="173"/>
      <c r="H16" s="173"/>
      <c r="I16" s="173"/>
      <c r="J16" s="173"/>
      <c r="K16" s="173"/>
      <c r="L16" s="154"/>
      <c r="M16" s="15"/>
      <c r="N16" s="12"/>
      <c r="O16" s="12"/>
      <c r="P16" s="12"/>
    </row>
    <row r="17" spans="1:16" ht="8.25" customHeight="1" x14ac:dyDescent="0.35">
      <c r="A17" s="12"/>
      <c r="B17" s="16"/>
      <c r="C17" s="16"/>
      <c r="D17" s="16"/>
      <c r="E17" s="16"/>
      <c r="F17" s="17"/>
      <c r="G17" s="17"/>
      <c r="H17" s="17"/>
      <c r="I17" s="17"/>
      <c r="J17" s="17"/>
      <c r="K17" s="17"/>
      <c r="L17" s="17"/>
      <c r="M17" s="18"/>
      <c r="N17" s="12"/>
      <c r="O17" s="12"/>
      <c r="P17" s="12"/>
    </row>
    <row r="18" spans="1:16" ht="17.25" customHeight="1" x14ac:dyDescent="0.35">
      <c r="A18" s="233" t="e">
        <f ca="1">translate("InfoProduced", CurrentLanguage)</f>
        <v>#NAME?</v>
      </c>
      <c r="B18" s="234"/>
      <c r="C18" s="234"/>
      <c r="D18" s="234"/>
      <c r="E18" s="234"/>
      <c r="F18" s="234"/>
      <c r="G18" s="234"/>
      <c r="H18" s="234"/>
      <c r="I18" s="234"/>
      <c r="J18" s="234"/>
      <c r="K18" s="234"/>
      <c r="L18" s="234"/>
      <c r="M18" s="234"/>
      <c r="N18" s="234"/>
      <c r="O18" s="234"/>
      <c r="P18" s="19"/>
    </row>
    <row r="19" spans="1:16" ht="6.75" customHeight="1" x14ac:dyDescent="0.35">
      <c r="A19" s="21"/>
      <c r="B19" s="21"/>
      <c r="C19" s="21"/>
      <c r="D19" s="21"/>
      <c r="E19" s="21"/>
      <c r="F19" s="21"/>
      <c r="G19" s="21"/>
      <c r="H19" s="21"/>
      <c r="I19" s="21"/>
      <c r="J19" s="21"/>
      <c r="K19" s="21"/>
      <c r="L19" s="21"/>
      <c r="M19" s="21"/>
      <c r="N19" s="22"/>
      <c r="O19" s="22"/>
      <c r="P19" s="22"/>
    </row>
    <row r="20" spans="1:16" ht="20.149999999999999" customHeight="1" x14ac:dyDescent="0.35">
      <c r="A20" s="21"/>
      <c r="B20" s="165" t="e">
        <f ca="1">translate("InfoByEntity", CurrentLanguage)</f>
        <v>#NAME?</v>
      </c>
      <c r="C20" s="166"/>
      <c r="D20" s="166"/>
      <c r="E20" s="166"/>
      <c r="F20" s="167"/>
      <c r="G20" s="155" t="s">
        <v>377</v>
      </c>
      <c r="H20" s="156"/>
      <c r="I20" s="21"/>
      <c r="J20" s="21"/>
      <c r="K20" s="21"/>
      <c r="L20" s="21"/>
      <c r="M20" s="21"/>
      <c r="N20" s="22"/>
      <c r="O20" s="22"/>
      <c r="P20" s="23"/>
    </row>
    <row r="21" spans="1:16" ht="55.5" customHeight="1" x14ac:dyDescent="0.35">
      <c r="A21" s="8"/>
      <c r="B21" s="165" t="e">
        <f ca="1">translate("RefWPIPE", CurrentLanguage)</f>
        <v>#NAME?</v>
      </c>
      <c r="C21" s="166"/>
      <c r="D21" s="166"/>
      <c r="E21" s="166"/>
      <c r="F21" s="167"/>
      <c r="G21" s="235" t="s">
        <v>1404</v>
      </c>
      <c r="H21" s="236"/>
      <c r="I21" s="236"/>
      <c r="J21" s="236"/>
      <c r="K21" s="236"/>
      <c r="L21" s="236"/>
      <c r="M21" s="236"/>
      <c r="N21" s="236"/>
      <c r="O21" s="236"/>
      <c r="P21" s="8"/>
    </row>
    <row r="22" spans="1:16" ht="8.25" customHeight="1" x14ac:dyDescent="0.35">
      <c r="A22" s="8"/>
      <c r="B22" s="24"/>
      <c r="C22" s="24"/>
      <c r="D22" s="24"/>
      <c r="E22" s="24"/>
      <c r="F22" s="24"/>
      <c r="G22" s="25"/>
      <c r="H22" s="24"/>
      <c r="I22" s="24"/>
      <c r="J22" s="8"/>
      <c r="K22" s="8"/>
      <c r="L22" s="8"/>
      <c r="M22" s="8"/>
      <c r="N22" s="8"/>
      <c r="O22" s="8"/>
      <c r="P22" s="8"/>
    </row>
    <row r="23" spans="1:16" ht="16.5" customHeight="1" x14ac:dyDescent="0.35">
      <c r="A23" s="237" t="e">
        <f ca="1">translate("DetermineInstance", CurrentLanguage)</f>
        <v>#NAME?</v>
      </c>
      <c r="B23" s="238"/>
      <c r="C23" s="238"/>
      <c r="D23" s="238"/>
      <c r="E23" s="238"/>
      <c r="F23" s="238"/>
      <c r="G23" s="238"/>
      <c r="H23" s="238"/>
      <c r="I23" s="238"/>
      <c r="J23" s="238"/>
      <c r="K23" s="238"/>
      <c r="L23" s="238"/>
      <c r="M23" s="238"/>
      <c r="N23" s="238"/>
      <c r="O23" s="239"/>
      <c r="P23" s="26"/>
    </row>
    <row r="24" spans="1:16" ht="9.75" customHeight="1" x14ac:dyDescent="0.35">
      <c r="A24" s="5"/>
      <c r="B24" s="5"/>
      <c r="C24" s="5"/>
      <c r="D24" s="5"/>
      <c r="E24" s="5"/>
      <c r="F24" s="5"/>
      <c r="G24" s="5"/>
      <c r="H24" s="5"/>
      <c r="I24" s="5"/>
      <c r="J24" s="5"/>
      <c r="K24" s="5"/>
      <c r="L24" s="5"/>
      <c r="M24" s="5"/>
      <c r="N24" s="5"/>
      <c r="O24" s="5"/>
      <c r="P24" s="5"/>
    </row>
    <row r="25" spans="1:16" ht="20.149999999999999" customHeight="1" x14ac:dyDescent="0.35">
      <c r="A25" s="5"/>
      <c r="B25" s="168" t="e">
        <f ca="1">translate("SingleInstance", CurrentLanguage)</f>
        <v>#NAME?</v>
      </c>
      <c r="C25" s="181"/>
      <c r="D25" s="181"/>
      <c r="E25" s="181"/>
      <c r="F25" s="181"/>
      <c r="G25" s="181"/>
      <c r="H25" s="181"/>
      <c r="I25" s="181"/>
      <c r="J25" s="169"/>
      <c r="K25" s="205" t="s">
        <v>174</v>
      </c>
      <c r="L25" s="208"/>
      <c r="M25" s="206"/>
      <c r="N25" s="27"/>
      <c r="O25" s="28"/>
      <c r="P25" s="28"/>
    </row>
    <row r="26" spans="1:16" ht="8.25" customHeight="1" x14ac:dyDescent="0.35">
      <c r="A26" s="5"/>
      <c r="B26" s="5"/>
      <c r="C26" s="5"/>
      <c r="D26" s="5"/>
      <c r="E26" s="5"/>
      <c r="F26" s="5"/>
      <c r="G26" s="5"/>
      <c r="H26" s="5"/>
      <c r="I26" s="5"/>
      <c r="J26" s="5"/>
      <c r="K26" s="5"/>
      <c r="L26" s="5"/>
      <c r="M26" s="5"/>
      <c r="N26" s="5"/>
      <c r="O26" s="5"/>
      <c r="P26" s="5"/>
    </row>
    <row r="27" spans="1:16" ht="67.5" hidden="1" customHeight="1" x14ac:dyDescent="0.35">
      <c r="A27" s="5"/>
      <c r="B27" s="170" t="e">
        <f ca="1">translate("DescribeProcs1", CurrentLanguage)</f>
        <v>#NAME?</v>
      </c>
      <c r="C27" s="171"/>
      <c r="D27" s="171"/>
      <c r="E27" s="172"/>
      <c r="F27" s="292"/>
      <c r="G27" s="293"/>
      <c r="H27" s="293"/>
      <c r="I27" s="293"/>
      <c r="J27" s="293"/>
      <c r="K27" s="293"/>
      <c r="L27" s="293"/>
      <c r="M27" s="293"/>
      <c r="N27" s="293"/>
      <c r="O27" s="294"/>
      <c r="P27" s="29"/>
    </row>
    <row r="28" spans="1:16" ht="6.75" hidden="1" customHeight="1" x14ac:dyDescent="0.35">
      <c r="A28" s="5"/>
      <c r="B28" s="5"/>
      <c r="C28" s="5"/>
      <c r="D28" s="5"/>
      <c r="E28" s="5"/>
      <c r="F28" s="5"/>
      <c r="G28" s="5"/>
      <c r="H28" s="5"/>
      <c r="I28" s="5"/>
      <c r="J28" s="5"/>
      <c r="K28" s="5"/>
      <c r="L28" s="5"/>
      <c r="M28" s="5"/>
      <c r="N28" s="5"/>
      <c r="O28" s="5"/>
      <c r="P28" s="5"/>
    </row>
    <row r="29" spans="1:16" ht="14.25" hidden="1" customHeight="1" x14ac:dyDescent="0.35">
      <c r="A29" s="5"/>
      <c r="B29" s="142" t="e">
        <f ca="1">translate("IdentifyTest", CurrentLanguage)</f>
        <v>#NAME?</v>
      </c>
      <c r="C29" s="143"/>
      <c r="D29" s="143"/>
      <c r="E29" s="143"/>
      <c r="F29" s="240" t="e">
        <f ca="1">translate("Instance", CurrentLanguage)</f>
        <v>#NAME?</v>
      </c>
      <c r="G29" s="240"/>
      <c r="H29" s="168" t="e">
        <f ca="1">translate("InfoInspected", CurrentLanguage)</f>
        <v>#NAME?</v>
      </c>
      <c r="I29" s="181"/>
      <c r="J29" s="181"/>
      <c r="K29" s="181"/>
      <c r="L29" s="169"/>
      <c r="M29" s="240" t="e">
        <f ca="1">translate("SameFunc", CurrentLanguage)</f>
        <v>#NAME?</v>
      </c>
      <c r="N29" s="240"/>
      <c r="O29" s="240"/>
      <c r="P29" s="27"/>
    </row>
    <row r="30" spans="1:16" ht="20.149999999999999" hidden="1" customHeight="1" x14ac:dyDescent="0.35">
      <c r="A30" s="5"/>
      <c r="B30" s="145"/>
      <c r="C30" s="146"/>
      <c r="D30" s="146"/>
      <c r="E30" s="146"/>
      <c r="F30" s="153"/>
      <c r="G30" s="154"/>
      <c r="H30" s="153"/>
      <c r="I30" s="173"/>
      <c r="J30" s="173"/>
      <c r="K30" s="173"/>
      <c r="L30" s="154"/>
      <c r="M30" s="180"/>
      <c r="N30" s="180"/>
      <c r="O30" s="180"/>
      <c r="P30" s="15"/>
    </row>
    <row r="31" spans="1:16" ht="20.149999999999999" hidden="1" customHeight="1" x14ac:dyDescent="0.35">
      <c r="A31" s="5"/>
      <c r="B31" s="145"/>
      <c r="C31" s="146"/>
      <c r="D31" s="146"/>
      <c r="E31" s="146"/>
      <c r="F31" s="153"/>
      <c r="G31" s="154"/>
      <c r="H31" s="153"/>
      <c r="I31" s="173"/>
      <c r="J31" s="173"/>
      <c r="K31" s="173"/>
      <c r="L31" s="154"/>
      <c r="M31" s="180"/>
      <c r="N31" s="180"/>
      <c r="O31" s="180"/>
      <c r="P31" s="15"/>
    </row>
    <row r="32" spans="1:16" ht="20.149999999999999" hidden="1" customHeight="1" x14ac:dyDescent="0.35">
      <c r="A32" s="5"/>
      <c r="B32" s="148"/>
      <c r="C32" s="149"/>
      <c r="D32" s="149"/>
      <c r="E32" s="149"/>
      <c r="F32" s="153"/>
      <c r="G32" s="154"/>
      <c r="H32" s="153"/>
      <c r="I32" s="173"/>
      <c r="J32" s="173"/>
      <c r="K32" s="173"/>
      <c r="L32" s="154"/>
      <c r="M32" s="180"/>
      <c r="N32" s="180"/>
      <c r="O32" s="180"/>
      <c r="P32" s="15"/>
    </row>
    <row r="33" spans="1:16" ht="7.5" hidden="1" customHeight="1" x14ac:dyDescent="0.35">
      <c r="A33" s="95"/>
      <c r="B33" s="5"/>
      <c r="C33" s="5"/>
      <c r="D33" s="5"/>
      <c r="E33" s="5"/>
      <c r="F33" s="5"/>
      <c r="G33" s="5"/>
      <c r="H33" s="5"/>
      <c r="I33" s="5"/>
      <c r="J33" s="5"/>
      <c r="K33" s="5"/>
      <c r="L33" s="5"/>
      <c r="M33" s="5"/>
      <c r="N33" s="5"/>
      <c r="O33" s="5"/>
      <c r="P33" s="5"/>
    </row>
    <row r="34" spans="1:16" ht="33" hidden="1" customHeight="1" x14ac:dyDescent="0.35">
      <c r="A34" s="5"/>
      <c r="B34" s="232" t="e">
        <f ca="1">translate("DocAuditResponse", CurrentLanguage)</f>
        <v>#NAME?</v>
      </c>
      <c r="C34" s="232"/>
      <c r="D34" s="232"/>
      <c r="E34" s="232"/>
      <c r="F34" s="185"/>
      <c r="G34" s="186"/>
      <c r="H34" s="186"/>
      <c r="I34" s="186"/>
      <c r="J34" s="186"/>
      <c r="K34" s="186"/>
      <c r="L34" s="186"/>
      <c r="M34" s="186"/>
      <c r="N34" s="186"/>
      <c r="O34" s="187"/>
      <c r="P34" s="15"/>
    </row>
    <row r="35" spans="1:16" ht="20.149999999999999" hidden="1" customHeight="1" x14ac:dyDescent="0.35">
      <c r="A35" s="95"/>
      <c r="B35" s="5"/>
      <c r="C35" s="5"/>
      <c r="D35" s="5"/>
      <c r="E35" s="5"/>
      <c r="F35" s="5"/>
      <c r="G35" s="5"/>
      <c r="H35" s="5"/>
      <c r="I35" s="5"/>
      <c r="J35" s="5"/>
      <c r="K35" s="5"/>
      <c r="L35" s="5"/>
      <c r="M35" s="5"/>
      <c r="N35" s="5"/>
      <c r="O35" s="5"/>
      <c r="P35" s="5"/>
    </row>
    <row r="36" spans="1:16" ht="15.75" customHeight="1" x14ac:dyDescent="0.35">
      <c r="A36" s="237" t="e">
        <f ca="1">translate("EvalConfig", CurrentLanguage)</f>
        <v>#NAME?</v>
      </c>
      <c r="B36" s="238"/>
      <c r="C36" s="238"/>
      <c r="D36" s="238"/>
      <c r="E36" s="238"/>
      <c r="F36" s="238"/>
      <c r="G36" s="238"/>
      <c r="H36" s="238"/>
      <c r="I36" s="238"/>
      <c r="J36" s="238"/>
      <c r="K36" s="238"/>
      <c r="L36" s="238"/>
      <c r="M36" s="238"/>
      <c r="N36" s="238"/>
      <c r="O36" s="239"/>
      <c r="P36" s="26"/>
    </row>
    <row r="37" spans="1:16" ht="66" customHeight="1" outlineLevel="1" x14ac:dyDescent="0.35">
      <c r="A37" s="161" t="e">
        <f ca="1">translate("Guidance", CurrentLanguage)</f>
        <v>#NAME?</v>
      </c>
      <c r="B37" s="161"/>
      <c r="C37" s="137" t="e">
        <f ca="1">translate("ConfigControls", CurrentLanguage)</f>
        <v>#NAME?</v>
      </c>
      <c r="D37" s="137"/>
      <c r="E37" s="137"/>
      <c r="F37" s="137"/>
      <c r="G37" s="137"/>
      <c r="H37" s="137"/>
      <c r="I37" s="137"/>
      <c r="J37" s="137"/>
      <c r="K37" s="137"/>
      <c r="L37" s="137"/>
      <c r="M37" s="137"/>
      <c r="N37" s="137"/>
      <c r="O37" s="137"/>
      <c r="P37" s="30"/>
    </row>
    <row r="38" spans="1:16" ht="7.5" customHeight="1" x14ac:dyDescent="0.35">
      <c r="A38" s="5"/>
      <c r="B38" s="5"/>
      <c r="C38" s="5"/>
      <c r="D38" s="5"/>
      <c r="E38" s="5"/>
      <c r="F38" s="5"/>
      <c r="G38" s="5"/>
      <c r="H38" s="5"/>
      <c r="I38" s="5"/>
      <c r="J38" s="5"/>
      <c r="K38" s="5"/>
      <c r="L38" s="5"/>
      <c r="M38" s="5"/>
      <c r="N38" s="5"/>
      <c r="O38" s="5"/>
      <c r="P38" s="30"/>
    </row>
    <row r="39" spans="1:16" ht="20.149999999999999" customHeight="1" x14ac:dyDescent="0.35">
      <c r="A39" s="5"/>
      <c r="B39" s="170" t="e">
        <f ca="1">translate("ControlConfig", CurrentLanguage)</f>
        <v>#NAME?</v>
      </c>
      <c r="C39" s="171"/>
      <c r="D39" s="171"/>
      <c r="E39" s="172"/>
      <c r="F39" s="114" t="s">
        <v>174</v>
      </c>
      <c r="G39" s="14"/>
      <c r="H39" s="18"/>
      <c r="I39" s="18"/>
      <c r="J39" s="18"/>
      <c r="K39" s="5"/>
      <c r="L39" s="5"/>
      <c r="M39" s="5"/>
      <c r="N39" s="5"/>
      <c r="O39" s="5"/>
      <c r="P39" s="30"/>
    </row>
    <row r="40" spans="1:16" ht="8.25" customHeight="1" x14ac:dyDescent="0.35">
      <c r="A40" s="5"/>
      <c r="B40" s="31"/>
      <c r="C40" s="31"/>
      <c r="D40" s="31"/>
      <c r="E40" s="31"/>
      <c r="F40" s="5"/>
      <c r="G40" s="5"/>
      <c r="H40" s="5"/>
      <c r="I40" s="5"/>
      <c r="J40" s="5"/>
      <c r="K40" s="5"/>
      <c r="L40" s="5"/>
      <c r="M40" s="5"/>
      <c r="N40" s="5"/>
      <c r="O40" s="5"/>
      <c r="P40" s="5"/>
    </row>
    <row r="41" spans="1:16" ht="38.25" customHeight="1" x14ac:dyDescent="0.35">
      <c r="A41" s="5"/>
      <c r="B41" s="202" t="e">
        <f ca="1">translate("RefWP", CurrentLanguage)</f>
        <v>#NAME?</v>
      </c>
      <c r="C41" s="203"/>
      <c r="D41" s="203"/>
      <c r="E41" s="204"/>
      <c r="F41" s="138" t="s">
        <v>1346</v>
      </c>
      <c r="G41" s="139"/>
      <c r="H41" s="139"/>
      <c r="I41" s="139"/>
      <c r="J41" s="139"/>
      <c r="K41" s="139"/>
      <c r="L41" s="139"/>
      <c r="M41" s="139"/>
      <c r="N41" s="139"/>
      <c r="O41" s="140"/>
      <c r="P41" s="18"/>
    </row>
    <row r="42" spans="1:16" ht="6" customHeight="1" x14ac:dyDescent="0.35">
      <c r="A42" s="5"/>
      <c r="B42" s="31"/>
      <c r="C42" s="31"/>
      <c r="D42" s="31"/>
      <c r="E42" s="31"/>
      <c r="F42" s="5"/>
      <c r="G42" s="5"/>
      <c r="H42" s="5"/>
      <c r="I42" s="5"/>
      <c r="J42" s="5"/>
      <c r="K42" s="5"/>
      <c r="L42" s="5"/>
      <c r="M42" s="5"/>
      <c r="N42" s="5"/>
      <c r="O42" s="5"/>
      <c r="P42" s="5"/>
    </row>
    <row r="43" spans="1:16" ht="42" hidden="1" customHeight="1" x14ac:dyDescent="0.35">
      <c r="A43" s="5"/>
      <c r="B43" s="170" t="e">
        <f ca="1">translate("DescribeProcs2", CurrentLanguage)</f>
        <v>#NAME?</v>
      </c>
      <c r="C43" s="171"/>
      <c r="D43" s="171"/>
      <c r="E43" s="172"/>
      <c r="F43" s="185"/>
      <c r="G43" s="186"/>
      <c r="H43" s="186"/>
      <c r="I43" s="186"/>
      <c r="J43" s="186"/>
      <c r="K43" s="186"/>
      <c r="L43" s="186"/>
      <c r="M43" s="186"/>
      <c r="N43" s="186"/>
      <c r="O43" s="187"/>
      <c r="P43" s="15"/>
    </row>
    <row r="44" spans="1:16" ht="6" hidden="1" customHeight="1" x14ac:dyDescent="0.35">
      <c r="A44" s="5"/>
      <c r="B44" s="5"/>
      <c r="C44" s="5"/>
      <c r="D44" s="5"/>
      <c r="E44" s="5"/>
      <c r="F44" s="5"/>
      <c r="G44" s="5"/>
      <c r="H44" s="5"/>
      <c r="I44" s="5"/>
      <c r="J44" s="5"/>
      <c r="K44" s="5"/>
      <c r="L44" s="5"/>
      <c r="M44" s="5"/>
      <c r="N44" s="5"/>
      <c r="O44" s="5"/>
      <c r="P44" s="5"/>
    </row>
    <row r="45" spans="1:16" hidden="1" x14ac:dyDescent="0.35">
      <c r="A45" s="5"/>
      <c r="B45" s="142" t="e">
        <f ca="1">translate("IdentifyKey", CurrentLanguage)</f>
        <v>#NAME?</v>
      </c>
      <c r="C45" s="143"/>
      <c r="D45" s="143"/>
      <c r="E45" s="144"/>
      <c r="F45" s="240" t="e">
        <f ca="1">translate("ScreenMenu", CurrentLanguage)</f>
        <v>#NAME?</v>
      </c>
      <c r="G45" s="240"/>
      <c r="H45" s="168" t="e">
        <f ca="1">translate("Field", CurrentLanguage)</f>
        <v>#NAME?</v>
      </c>
      <c r="I45" s="169"/>
      <c r="J45" s="168" t="e">
        <f ca="1">translate("CurrentValue", CurrentLanguage)</f>
        <v>#NAME?</v>
      </c>
      <c r="K45" s="181"/>
      <c r="L45" s="169"/>
      <c r="M45" s="306" t="e">
        <f ca="1">translate("AppropriateValue", CurrentLanguage)</f>
        <v>#NAME?</v>
      </c>
      <c r="N45" s="306"/>
      <c r="O45" s="306"/>
      <c r="P45" s="96"/>
    </row>
    <row r="46" spans="1:16" ht="20.149999999999999" hidden="1" customHeight="1" x14ac:dyDescent="0.35">
      <c r="A46" s="5"/>
      <c r="B46" s="145"/>
      <c r="C46" s="146"/>
      <c r="D46" s="146"/>
      <c r="E46" s="147"/>
      <c r="F46" s="153"/>
      <c r="G46" s="154"/>
      <c r="H46" s="153"/>
      <c r="I46" s="154"/>
      <c r="J46" s="180"/>
      <c r="K46" s="180"/>
      <c r="L46" s="180"/>
      <c r="M46" s="180"/>
      <c r="N46" s="180"/>
      <c r="O46" s="180"/>
      <c r="P46" s="97"/>
    </row>
    <row r="47" spans="1:16" ht="20.149999999999999" hidden="1" customHeight="1" x14ac:dyDescent="0.35">
      <c r="A47" s="5"/>
      <c r="B47" s="145"/>
      <c r="C47" s="146"/>
      <c r="D47" s="146"/>
      <c r="E47" s="147"/>
      <c r="F47" s="153"/>
      <c r="G47" s="154"/>
      <c r="H47" s="153"/>
      <c r="I47" s="154"/>
      <c r="J47" s="180"/>
      <c r="K47" s="180"/>
      <c r="L47" s="180"/>
      <c r="M47" s="180"/>
      <c r="N47" s="180"/>
      <c r="O47" s="180"/>
      <c r="P47" s="97"/>
    </row>
    <row r="48" spans="1:16" ht="20.149999999999999" hidden="1" customHeight="1" x14ac:dyDescent="0.35">
      <c r="A48" s="5"/>
      <c r="B48" s="148"/>
      <c r="C48" s="149"/>
      <c r="D48" s="149"/>
      <c r="E48" s="150"/>
      <c r="F48" s="153"/>
      <c r="G48" s="154"/>
      <c r="H48" s="153"/>
      <c r="I48" s="154"/>
      <c r="J48" s="180"/>
      <c r="K48" s="180"/>
      <c r="L48" s="180"/>
      <c r="M48" s="180"/>
      <c r="N48" s="180"/>
      <c r="O48" s="180"/>
      <c r="P48" s="97"/>
    </row>
    <row r="49" spans="1:16" ht="6" hidden="1" customHeight="1" x14ac:dyDescent="0.35">
      <c r="A49" s="5"/>
      <c r="B49" s="5"/>
      <c r="C49" s="5"/>
      <c r="D49" s="5"/>
      <c r="E49" s="5"/>
      <c r="F49" s="5"/>
      <c r="G49" s="5"/>
      <c r="H49" s="5"/>
      <c r="I49" s="5"/>
      <c r="J49" s="5"/>
      <c r="K49" s="5"/>
      <c r="L49" s="5"/>
      <c r="M49" s="31"/>
      <c r="N49" s="5"/>
      <c r="O49" s="5"/>
      <c r="P49" s="5"/>
    </row>
    <row r="50" spans="1:16" ht="14.25" hidden="1" customHeight="1" x14ac:dyDescent="0.35">
      <c r="A50" s="5"/>
      <c r="B50" s="142" t="e">
        <f ca="1">translate("IdentifyEvidence", CurrentLanguage)</f>
        <v>#NAME?</v>
      </c>
      <c r="C50" s="143"/>
      <c r="D50" s="143"/>
      <c r="E50" s="144"/>
      <c r="F50" s="240" t="e">
        <f ca="1">translate("ReportName", CurrentLanguage)</f>
        <v>#NAME?</v>
      </c>
      <c r="G50" s="240"/>
      <c r="H50" s="168" t="e">
        <f ca="1">translate("System", CurrentLanguage)</f>
        <v>#NAME?</v>
      </c>
      <c r="I50" s="169"/>
      <c r="J50" s="168" t="e">
        <f ca="1">translate("Contents", CurrentLanguage)</f>
        <v>#NAME?</v>
      </c>
      <c r="K50" s="181"/>
      <c r="L50" s="181"/>
      <c r="M50" s="181"/>
      <c r="N50" s="181"/>
      <c r="O50" s="169"/>
      <c r="P50" s="27"/>
    </row>
    <row r="51" spans="1:16" ht="20.149999999999999" hidden="1" customHeight="1" x14ac:dyDescent="0.35">
      <c r="A51" s="5"/>
      <c r="B51" s="145"/>
      <c r="C51" s="146"/>
      <c r="D51" s="146"/>
      <c r="E51" s="147"/>
      <c r="F51" s="153"/>
      <c r="G51" s="154"/>
      <c r="H51" s="153"/>
      <c r="I51" s="154"/>
      <c r="J51" s="153"/>
      <c r="K51" s="173"/>
      <c r="L51" s="173"/>
      <c r="M51" s="173"/>
      <c r="N51" s="173"/>
      <c r="O51" s="154"/>
      <c r="P51" s="15"/>
    </row>
    <row r="52" spans="1:16" ht="20.149999999999999" hidden="1" customHeight="1" x14ac:dyDescent="0.35">
      <c r="A52" s="5"/>
      <c r="B52" s="145"/>
      <c r="C52" s="146"/>
      <c r="D52" s="146"/>
      <c r="E52" s="147"/>
      <c r="F52" s="153"/>
      <c r="G52" s="154"/>
      <c r="H52" s="153"/>
      <c r="I52" s="154"/>
      <c r="J52" s="153"/>
      <c r="K52" s="173"/>
      <c r="L52" s="173"/>
      <c r="M52" s="173"/>
      <c r="N52" s="173"/>
      <c r="O52" s="154"/>
      <c r="P52" s="15"/>
    </row>
    <row r="53" spans="1:16" ht="20.149999999999999" hidden="1" customHeight="1" x14ac:dyDescent="0.35">
      <c r="A53" s="5"/>
      <c r="B53" s="148"/>
      <c r="C53" s="149"/>
      <c r="D53" s="149"/>
      <c r="E53" s="150"/>
      <c r="F53" s="153"/>
      <c r="G53" s="154"/>
      <c r="H53" s="153"/>
      <c r="I53" s="154"/>
      <c r="J53" s="153"/>
      <c r="K53" s="173"/>
      <c r="L53" s="173"/>
      <c r="M53" s="173"/>
      <c r="N53" s="173"/>
      <c r="O53" s="154"/>
      <c r="P53" s="15"/>
    </row>
    <row r="54" spans="1:16" ht="6" hidden="1" customHeight="1" x14ac:dyDescent="0.35">
      <c r="A54" s="5"/>
      <c r="B54" s="5"/>
      <c r="C54" s="5"/>
      <c r="D54" s="5"/>
      <c r="E54" s="5"/>
      <c r="F54" s="5"/>
      <c r="G54" s="5"/>
      <c r="H54" s="5"/>
      <c r="I54" s="5"/>
      <c r="J54" s="5"/>
      <c r="K54" s="5"/>
      <c r="L54" s="5"/>
      <c r="M54" s="5"/>
      <c r="N54" s="5"/>
      <c r="O54" s="5"/>
      <c r="P54" s="5"/>
    </row>
    <row r="55" spans="1:16" ht="34.5" hidden="1" customHeight="1" x14ac:dyDescent="0.35">
      <c r="A55" s="5"/>
      <c r="B55" s="170" t="e">
        <f ca="1">translate("DocResponse", CurrentLanguage)</f>
        <v>#NAME?</v>
      </c>
      <c r="C55" s="171"/>
      <c r="D55" s="171"/>
      <c r="E55" s="172"/>
      <c r="F55" s="185"/>
      <c r="G55" s="186"/>
      <c r="H55" s="186"/>
      <c r="I55" s="186"/>
      <c r="J55" s="186"/>
      <c r="K55" s="186"/>
      <c r="L55" s="186"/>
      <c r="M55" s="186"/>
      <c r="N55" s="186"/>
      <c r="O55" s="187"/>
      <c r="P55" s="15"/>
    </row>
    <row r="56" spans="1:16" ht="6" hidden="1" customHeight="1" x14ac:dyDescent="0.35">
      <c r="A56" s="5"/>
      <c r="B56" s="32"/>
      <c r="C56" s="32"/>
      <c r="D56" s="32"/>
      <c r="E56" s="32"/>
      <c r="F56" s="5"/>
      <c r="G56" s="5"/>
      <c r="H56" s="5"/>
      <c r="I56" s="5"/>
      <c r="J56" s="5"/>
      <c r="K56" s="5"/>
      <c r="L56" s="5"/>
      <c r="M56" s="5"/>
      <c r="N56" s="5"/>
      <c r="O56" s="5"/>
      <c r="P56" s="5"/>
    </row>
    <row r="57" spans="1:16" ht="43.5" hidden="1" customHeight="1" x14ac:dyDescent="0.35">
      <c r="A57" s="5"/>
      <c r="B57" s="170" t="e">
        <f ca="1">translate("DescribeProcs2", CurrentLanguage)</f>
        <v>#NAME?</v>
      </c>
      <c r="C57" s="171"/>
      <c r="D57" s="171"/>
      <c r="E57" s="172"/>
      <c r="F57" s="185"/>
      <c r="G57" s="186"/>
      <c r="H57" s="186"/>
      <c r="I57" s="186"/>
      <c r="J57" s="186"/>
      <c r="K57" s="186"/>
      <c r="L57" s="186"/>
      <c r="M57" s="186"/>
      <c r="N57" s="186"/>
      <c r="O57" s="187"/>
      <c r="P57" s="15"/>
    </row>
    <row r="58" spans="1:16" ht="6" hidden="1" customHeight="1" x14ac:dyDescent="0.35">
      <c r="A58" s="5"/>
      <c r="B58" s="32"/>
      <c r="C58" s="32"/>
      <c r="D58" s="32"/>
      <c r="E58" s="32"/>
      <c r="F58" s="5"/>
      <c r="G58" s="5"/>
      <c r="H58" s="5"/>
      <c r="I58" s="5"/>
      <c r="J58" s="5"/>
      <c r="K58" s="5"/>
      <c r="L58" s="5"/>
      <c r="M58" s="5"/>
      <c r="N58" s="5"/>
      <c r="O58" s="5"/>
      <c r="P58" s="5"/>
    </row>
    <row r="59" spans="1:16" hidden="1" x14ac:dyDescent="0.35">
      <c r="A59" s="5"/>
      <c r="B59" s="142" t="e">
        <f ca="1">translate("IdentifyRoles", CurrentLanguage)</f>
        <v>#NAME?</v>
      </c>
      <c r="C59" s="143"/>
      <c r="D59" s="143"/>
      <c r="E59" s="144"/>
      <c r="F59" s="240" t="e">
        <f ca="1">translate("ReportName", CurrentLanguage)</f>
        <v>#NAME?</v>
      </c>
      <c r="G59" s="240"/>
      <c r="H59" s="168" t="e">
        <f ca="1">translate("System", CurrentLanguage)</f>
        <v>#NAME?</v>
      </c>
      <c r="I59" s="169"/>
      <c r="J59" s="168" t="e">
        <f ca="1">translate("Contents", CurrentLanguage)</f>
        <v>#NAME?</v>
      </c>
      <c r="K59" s="181"/>
      <c r="L59" s="181"/>
      <c r="M59" s="181"/>
      <c r="N59" s="181"/>
      <c r="O59" s="169"/>
      <c r="P59" s="27"/>
    </row>
    <row r="60" spans="1:16" ht="20.149999999999999" hidden="1" customHeight="1" x14ac:dyDescent="0.35">
      <c r="A60" s="5"/>
      <c r="B60" s="145"/>
      <c r="C60" s="146"/>
      <c r="D60" s="146"/>
      <c r="E60" s="147"/>
      <c r="F60" s="153"/>
      <c r="G60" s="154"/>
      <c r="H60" s="153"/>
      <c r="I60" s="154"/>
      <c r="J60" s="153"/>
      <c r="K60" s="173"/>
      <c r="L60" s="173"/>
      <c r="M60" s="173"/>
      <c r="N60" s="173"/>
      <c r="O60" s="154"/>
      <c r="P60" s="15"/>
    </row>
    <row r="61" spans="1:16" ht="20.149999999999999" hidden="1" customHeight="1" x14ac:dyDescent="0.35">
      <c r="A61" s="5"/>
      <c r="B61" s="145"/>
      <c r="C61" s="146"/>
      <c r="D61" s="146"/>
      <c r="E61" s="147"/>
      <c r="F61" s="153"/>
      <c r="G61" s="154"/>
      <c r="H61" s="153"/>
      <c r="I61" s="154"/>
      <c r="J61" s="153"/>
      <c r="K61" s="173"/>
      <c r="L61" s="173"/>
      <c r="M61" s="173"/>
      <c r="N61" s="173"/>
      <c r="O61" s="154"/>
      <c r="P61" s="15"/>
    </row>
    <row r="62" spans="1:16" ht="20.149999999999999" hidden="1" customHeight="1" x14ac:dyDescent="0.35">
      <c r="A62" s="5"/>
      <c r="B62" s="148"/>
      <c r="C62" s="149"/>
      <c r="D62" s="149"/>
      <c r="E62" s="150"/>
      <c r="F62" s="153"/>
      <c r="G62" s="154"/>
      <c r="H62" s="153"/>
      <c r="I62" s="154"/>
      <c r="J62" s="153"/>
      <c r="K62" s="173"/>
      <c r="L62" s="173"/>
      <c r="M62" s="173"/>
      <c r="N62" s="173"/>
      <c r="O62" s="154"/>
      <c r="P62" s="15"/>
    </row>
    <row r="63" spans="1:16" ht="6" hidden="1" customHeight="1" x14ac:dyDescent="0.35">
      <c r="A63" s="5"/>
      <c r="B63" s="32"/>
      <c r="C63" s="32"/>
      <c r="D63" s="32"/>
      <c r="E63" s="32"/>
      <c r="F63" s="5"/>
      <c r="G63" s="5"/>
      <c r="H63" s="5"/>
      <c r="I63" s="5"/>
      <c r="J63" s="5"/>
      <c r="K63" s="5"/>
      <c r="L63" s="5"/>
      <c r="M63" s="5"/>
      <c r="N63" s="5"/>
      <c r="O63" s="5"/>
      <c r="P63" s="5"/>
    </row>
    <row r="64" spans="1:16" ht="55.5" hidden="1" customHeight="1" x14ac:dyDescent="0.35">
      <c r="A64" s="5"/>
      <c r="B64" s="170" t="e">
        <f ca="1">translate("DescribeEval2", CurrentLanguage)</f>
        <v>#NAME?</v>
      </c>
      <c r="C64" s="171"/>
      <c r="D64" s="171"/>
      <c r="E64" s="172"/>
      <c r="F64" s="185"/>
      <c r="G64" s="186"/>
      <c r="H64" s="186"/>
      <c r="I64" s="186"/>
      <c r="J64" s="186"/>
      <c r="K64" s="186"/>
      <c r="L64" s="186"/>
      <c r="M64" s="186"/>
      <c r="N64" s="186"/>
      <c r="O64" s="187"/>
      <c r="P64" s="15"/>
    </row>
    <row r="65" spans="1:16" ht="6" hidden="1" customHeight="1" x14ac:dyDescent="0.35">
      <c r="A65" s="5"/>
      <c r="B65" s="5"/>
      <c r="C65" s="5"/>
      <c r="D65" s="5"/>
      <c r="E65" s="5"/>
      <c r="F65" s="5"/>
      <c r="G65" s="5"/>
      <c r="H65" s="5"/>
      <c r="I65" s="5"/>
      <c r="J65" s="5"/>
      <c r="K65" s="5"/>
      <c r="L65" s="5"/>
      <c r="M65" s="5"/>
      <c r="N65" s="5"/>
      <c r="O65" s="5"/>
      <c r="P65" s="5"/>
    </row>
    <row r="66" spans="1:16" ht="16.5" hidden="1" customHeight="1" x14ac:dyDescent="0.35">
      <c r="A66" s="5"/>
      <c r="B66" s="264" t="e">
        <f ca="1">translate("IdentifyIndiv", CurrentLanguage)</f>
        <v>#NAME?</v>
      </c>
      <c r="C66" s="265"/>
      <c r="D66" s="265"/>
      <c r="E66" s="266"/>
      <c r="F66" s="188" t="e">
        <f ca="1">translate("RoleProfile", CurrentLanguage)</f>
        <v>#NAME?</v>
      </c>
      <c r="G66" s="188"/>
      <c r="H66" s="182" t="e">
        <f ca="1">translate("User", CurrentLanguage)</f>
        <v>#NAME?</v>
      </c>
      <c r="I66" s="184"/>
      <c r="J66" s="182" t="e">
        <f ca="1">translate("JobTitle", CurrentLanguage)</f>
        <v>#NAME?</v>
      </c>
      <c r="K66" s="183"/>
      <c r="L66" s="184"/>
      <c r="M66" s="188" t="e">
        <f ca="1">translate("AppropriateAccess", CurrentLanguage)</f>
        <v>#NAME?</v>
      </c>
      <c r="N66" s="188"/>
      <c r="O66" s="188"/>
      <c r="P66" s="33"/>
    </row>
    <row r="67" spans="1:16" ht="20.149999999999999" hidden="1" customHeight="1" x14ac:dyDescent="0.35">
      <c r="A67" s="5"/>
      <c r="B67" s="267"/>
      <c r="C67" s="268"/>
      <c r="D67" s="268"/>
      <c r="E67" s="269"/>
      <c r="F67" s="153"/>
      <c r="G67" s="154"/>
      <c r="H67" s="153"/>
      <c r="I67" s="154"/>
      <c r="J67" s="180"/>
      <c r="K67" s="180"/>
      <c r="L67" s="180"/>
      <c r="M67" s="180"/>
      <c r="N67" s="180"/>
      <c r="O67" s="180"/>
      <c r="P67" s="15"/>
    </row>
    <row r="68" spans="1:16" ht="20.149999999999999" hidden="1" customHeight="1" x14ac:dyDescent="0.35">
      <c r="A68" s="5"/>
      <c r="B68" s="267"/>
      <c r="C68" s="268"/>
      <c r="D68" s="268"/>
      <c r="E68" s="269"/>
      <c r="F68" s="153"/>
      <c r="G68" s="154"/>
      <c r="H68" s="153"/>
      <c r="I68" s="154"/>
      <c r="J68" s="180"/>
      <c r="K68" s="180"/>
      <c r="L68" s="180"/>
      <c r="M68" s="180"/>
      <c r="N68" s="180"/>
      <c r="O68" s="180"/>
      <c r="P68" s="15"/>
    </row>
    <row r="69" spans="1:16" ht="20.149999999999999" hidden="1" customHeight="1" x14ac:dyDescent="0.35">
      <c r="A69" s="5"/>
      <c r="B69" s="270"/>
      <c r="C69" s="271"/>
      <c r="D69" s="271"/>
      <c r="E69" s="272"/>
      <c r="F69" s="153"/>
      <c r="G69" s="154"/>
      <c r="H69" s="153"/>
      <c r="I69" s="154"/>
      <c r="J69" s="180"/>
      <c r="K69" s="180"/>
      <c r="L69" s="180"/>
      <c r="M69" s="180"/>
      <c r="N69" s="180"/>
      <c r="O69" s="180"/>
      <c r="P69" s="15"/>
    </row>
    <row r="70" spans="1:16" ht="6" hidden="1" customHeight="1" x14ac:dyDescent="0.35">
      <c r="A70" s="5"/>
      <c r="B70" s="32"/>
      <c r="C70" s="32"/>
      <c r="D70" s="32"/>
      <c r="E70" s="32"/>
      <c r="F70" s="5"/>
      <c r="G70" s="5"/>
      <c r="H70" s="5"/>
      <c r="I70" s="5"/>
      <c r="J70" s="5"/>
      <c r="K70" s="5"/>
      <c r="L70" s="5"/>
      <c r="M70" s="5"/>
      <c r="N70" s="5"/>
      <c r="O70" s="5"/>
      <c r="P70" s="5"/>
    </row>
    <row r="71" spans="1:16" ht="45.75" hidden="1" customHeight="1" x14ac:dyDescent="0.35">
      <c r="A71" s="5"/>
      <c r="B71" s="170" t="e">
        <f ca="1">translate("DocAuditInstance", CurrentLanguage)</f>
        <v>#NAME?</v>
      </c>
      <c r="C71" s="171"/>
      <c r="D71" s="171"/>
      <c r="E71" s="172"/>
      <c r="F71" s="185"/>
      <c r="G71" s="186"/>
      <c r="H71" s="186"/>
      <c r="I71" s="186"/>
      <c r="J71" s="186"/>
      <c r="K71" s="186"/>
      <c r="L71" s="186"/>
      <c r="M71" s="186"/>
      <c r="N71" s="186"/>
      <c r="O71" s="187"/>
      <c r="P71" s="15"/>
    </row>
    <row r="72" spans="1:16" ht="7.5" hidden="1" customHeight="1" x14ac:dyDescent="0.35">
      <c r="A72" s="5"/>
      <c r="B72" s="5"/>
      <c r="C72" s="5"/>
      <c r="D72" s="5"/>
      <c r="E72" s="5"/>
      <c r="F72" s="5"/>
      <c r="G72" s="5"/>
      <c r="H72" s="5"/>
      <c r="I72" s="5"/>
      <c r="J72" s="5"/>
      <c r="K72" s="5"/>
      <c r="L72" s="5"/>
      <c r="M72" s="5"/>
      <c r="N72" s="5"/>
      <c r="O72" s="5"/>
      <c r="P72" s="5"/>
    </row>
    <row r="73" spans="1:16" ht="18.75" customHeight="1" x14ac:dyDescent="0.35">
      <c r="A73" s="237" t="e">
        <f ca="1">translate("TestingStrategy2", CurrentLanguage)</f>
        <v>#NAME?</v>
      </c>
      <c r="B73" s="238"/>
      <c r="C73" s="238"/>
      <c r="D73" s="238"/>
      <c r="E73" s="238"/>
      <c r="F73" s="238"/>
      <c r="G73" s="238"/>
      <c r="H73" s="238"/>
      <c r="I73" s="238"/>
      <c r="J73" s="238"/>
      <c r="K73" s="238"/>
      <c r="L73" s="238"/>
      <c r="M73" s="238"/>
      <c r="N73" s="238"/>
      <c r="O73" s="239"/>
      <c r="P73" s="34"/>
    </row>
    <row r="74" spans="1:16" ht="65" customHeight="1" outlineLevel="1" x14ac:dyDescent="0.35">
      <c r="A74" s="151" t="e">
        <f ca="1">translate("Guidance", CurrentLanguage)</f>
        <v>#NAME?</v>
      </c>
      <c r="B74" s="152"/>
      <c r="C74" s="255" t="e">
        <f ca="1">translate("NatureNote", CurrentLanguage)</f>
        <v>#NAME?</v>
      </c>
      <c r="D74" s="256"/>
      <c r="E74" s="256"/>
      <c r="F74" s="256"/>
      <c r="G74" s="256"/>
      <c r="H74" s="256"/>
      <c r="I74" s="256"/>
      <c r="J74" s="256"/>
      <c r="K74" s="256"/>
      <c r="L74" s="256"/>
      <c r="M74" s="256"/>
      <c r="N74" s="256"/>
      <c r="O74" s="257"/>
      <c r="P74" s="8"/>
    </row>
    <row r="75" spans="1:16" x14ac:dyDescent="0.35">
      <c r="A75" s="8"/>
      <c r="B75" s="8"/>
      <c r="C75" s="8"/>
      <c r="D75" s="8"/>
      <c r="E75" s="8"/>
      <c r="F75" s="8"/>
      <c r="G75" s="8"/>
      <c r="H75" s="8"/>
      <c r="I75" s="8"/>
      <c r="J75" s="8"/>
      <c r="K75" s="8"/>
      <c r="L75" s="8"/>
      <c r="M75" s="8"/>
      <c r="N75" s="8"/>
      <c r="O75" s="8"/>
      <c r="P75" s="8"/>
    </row>
    <row r="76" spans="1:16" ht="20.149999999999999" customHeight="1" x14ac:dyDescent="0.35">
      <c r="A76" s="8"/>
      <c r="B76" s="164" t="e">
        <f ca="1">translate("AsDocumented", CurrentLanguage)</f>
        <v>#NAME?</v>
      </c>
      <c r="C76" s="310" t="e">
        <f ca="1">translate("IndependentTesting", CurrentLanguage)</f>
        <v>#NAME?</v>
      </c>
      <c r="D76" s="311"/>
      <c r="E76" s="311"/>
      <c r="F76" s="311"/>
      <c r="G76" s="311"/>
      <c r="H76" s="311"/>
      <c r="I76" s="311"/>
      <c r="J76" s="311"/>
      <c r="K76" s="312"/>
      <c r="L76" s="205" t="s">
        <v>377</v>
      </c>
      <c r="M76" s="208"/>
      <c r="N76" s="208"/>
      <c r="O76" s="206"/>
      <c r="P76" s="8"/>
    </row>
    <row r="77" spans="1:16" ht="21.75" customHeight="1" x14ac:dyDescent="0.35">
      <c r="A77" s="8"/>
      <c r="B77" s="164"/>
      <c r="C77" s="284" t="e">
        <f ca="1">translate("UsingIA", CurrentLanguage)</f>
        <v>#NAME?</v>
      </c>
      <c r="D77" s="285"/>
      <c r="E77" s="202" t="e">
        <f ca="1">translate("ReperfIA", CurrentLanguage)</f>
        <v>#NAME?</v>
      </c>
      <c r="F77" s="203"/>
      <c r="G77" s="203"/>
      <c r="H77" s="203"/>
      <c r="I77" s="203"/>
      <c r="J77" s="203"/>
      <c r="K77" s="204"/>
      <c r="L77" s="205" t="s">
        <v>174</v>
      </c>
      <c r="M77" s="208"/>
      <c r="N77" s="208"/>
      <c r="O77" s="206"/>
      <c r="P77" s="8"/>
    </row>
    <row r="78" spans="1:16" ht="20.149999999999999" customHeight="1" x14ac:dyDescent="0.35">
      <c r="A78" s="8"/>
      <c r="B78" s="164"/>
      <c r="C78" s="286"/>
      <c r="D78" s="287"/>
      <c r="E78" s="202" t="e">
        <f ca="1">translate("ReviewTesting", CurrentLanguage)</f>
        <v>#NAME?</v>
      </c>
      <c r="F78" s="203"/>
      <c r="G78" s="203"/>
      <c r="H78" s="203"/>
      <c r="I78" s="203"/>
      <c r="J78" s="203"/>
      <c r="K78" s="204"/>
      <c r="L78" s="205" t="s">
        <v>174</v>
      </c>
      <c r="M78" s="208"/>
      <c r="N78" s="208"/>
      <c r="O78" s="206"/>
      <c r="P78" s="8"/>
    </row>
    <row r="79" spans="1:16" ht="7.5" customHeight="1" x14ac:dyDescent="0.35">
      <c r="A79" s="8"/>
      <c r="B79" s="8"/>
      <c r="C79" s="8"/>
      <c r="D79" s="8"/>
      <c r="E79" s="8"/>
      <c r="F79" s="8"/>
      <c r="G79" s="8"/>
      <c r="H79" s="8"/>
      <c r="I79" s="8"/>
      <c r="J79" s="8"/>
      <c r="K79" s="8"/>
      <c r="L79" s="8"/>
      <c r="M79" s="8"/>
      <c r="N79" s="8"/>
      <c r="O79" s="8"/>
      <c r="P79" s="8"/>
    </row>
    <row r="80" spans="1:16" ht="15" hidden="1" customHeight="1" x14ac:dyDescent="0.35">
      <c r="A80" s="21"/>
      <c r="B80" s="165" t="e">
        <f ca="1">translate("RefWPTestingGrid", CurrentLanguage)</f>
        <v>#NAME?</v>
      </c>
      <c r="C80" s="166"/>
      <c r="D80" s="167"/>
      <c r="E80" s="155"/>
      <c r="F80" s="160"/>
      <c r="G80" s="160"/>
      <c r="H80" s="160"/>
      <c r="I80" s="160"/>
      <c r="J80" s="160"/>
      <c r="K80" s="160"/>
      <c r="L80" s="160"/>
      <c r="M80" s="160"/>
      <c r="N80" s="160"/>
      <c r="O80" s="156"/>
      <c r="P80" s="22"/>
    </row>
    <row r="81" spans="1:16" ht="15" hidden="1" customHeight="1" x14ac:dyDescent="0.35">
      <c r="A81" s="21"/>
      <c r="B81" s="21"/>
      <c r="C81" s="21"/>
      <c r="D81" s="21"/>
      <c r="E81" s="21"/>
      <c r="F81" s="21"/>
      <c r="G81" s="21"/>
      <c r="H81" s="21"/>
      <c r="I81" s="21"/>
      <c r="J81" s="21"/>
      <c r="K81" s="21"/>
      <c r="L81" s="21"/>
      <c r="M81" s="21"/>
      <c r="N81" s="22"/>
      <c r="O81" s="22"/>
      <c r="P81" s="22"/>
    </row>
    <row r="82" spans="1:16" ht="15" hidden="1" customHeight="1" x14ac:dyDescent="0.35">
      <c r="A82" s="307" t="e">
        <f ca="1">translate("ConsiderHigher", CurrentLanguage)</f>
        <v>#NAME?</v>
      </c>
      <c r="B82" s="307"/>
      <c r="C82" s="307"/>
      <c r="D82" s="307"/>
      <c r="E82" s="307"/>
      <c r="F82" s="307"/>
      <c r="G82" s="307"/>
      <c r="H82" s="307"/>
      <c r="I82" s="307"/>
      <c r="J82" s="307"/>
      <c r="K82" s="307"/>
      <c r="L82" s="307"/>
      <c r="M82" s="307"/>
      <c r="N82" s="307"/>
      <c r="O82" s="307"/>
      <c r="P82" s="8"/>
    </row>
    <row r="83" spans="1:16" ht="15" hidden="1" customHeight="1" outlineLevel="1" x14ac:dyDescent="0.35">
      <c r="A83" s="316" t="e">
        <f ca="1">translate("Guidance",CurrentLanguage)</f>
        <v>#NAME?</v>
      </c>
      <c r="B83" s="316"/>
      <c r="C83" s="315" t="e">
        <f ca="1">translate("InternalAuditNote", CurrentLanguage)</f>
        <v>#NAME?</v>
      </c>
      <c r="D83" s="315"/>
      <c r="E83" s="315"/>
      <c r="F83" s="315"/>
      <c r="G83" s="315"/>
      <c r="H83" s="315"/>
      <c r="I83" s="315"/>
      <c r="J83" s="315"/>
      <c r="K83" s="315"/>
      <c r="L83" s="315"/>
      <c r="M83" s="315"/>
      <c r="N83" s="315"/>
      <c r="O83" s="315"/>
      <c r="P83" s="8"/>
    </row>
    <row r="84" spans="1:16" ht="15" hidden="1" customHeight="1" x14ac:dyDescent="0.35">
      <c r="A84" s="124"/>
      <c r="B84" s="21"/>
      <c r="C84" s="21"/>
      <c r="D84" s="21"/>
      <c r="E84" s="21"/>
      <c r="F84" s="21"/>
      <c r="G84" s="21"/>
      <c r="H84" s="21"/>
      <c r="I84" s="21"/>
      <c r="J84" s="21"/>
      <c r="K84" s="21"/>
      <c r="L84" s="21"/>
      <c r="M84" s="21"/>
      <c r="N84" s="22"/>
      <c r="O84" s="22"/>
      <c r="P84" s="22"/>
    </row>
    <row r="85" spans="1:16" ht="15" hidden="1" customHeight="1" x14ac:dyDescent="0.35">
      <c r="A85" s="21"/>
      <c r="B85" s="157" t="e">
        <f ca="1">translate("ControlHigher", CurrentLanguage)</f>
        <v>#NAME?</v>
      </c>
      <c r="C85" s="158"/>
      <c r="D85" s="158"/>
      <c r="E85" s="159"/>
      <c r="F85" s="80"/>
      <c r="G85" s="21"/>
      <c r="H85" s="21"/>
      <c r="I85" s="21"/>
      <c r="J85" s="21"/>
      <c r="K85" s="21"/>
      <c r="L85" s="21"/>
      <c r="M85" s="21"/>
      <c r="N85" s="22"/>
      <c r="O85" s="22"/>
      <c r="P85" s="22"/>
    </row>
    <row r="86" spans="1:16" ht="15" hidden="1" customHeight="1" x14ac:dyDescent="0.35">
      <c r="A86" s="21"/>
      <c r="B86" s="21"/>
      <c r="C86" s="21"/>
      <c r="D86" s="21"/>
      <c r="E86" s="21"/>
      <c r="F86" s="21"/>
      <c r="G86" s="21"/>
      <c r="H86" s="21"/>
      <c r="I86" s="21"/>
      <c r="J86" s="21"/>
      <c r="K86" s="21"/>
      <c r="L86" s="21"/>
      <c r="M86" s="21"/>
      <c r="N86" s="22"/>
      <c r="O86" s="22"/>
      <c r="P86" s="22"/>
    </row>
    <row r="87" spans="1:16" ht="15" hidden="1" customHeight="1" x14ac:dyDescent="0.35">
      <c r="A87" s="313" t="e">
        <f ca="1">translate("TestingStrategy3", CurrentLanguage)</f>
        <v>#NAME?</v>
      </c>
      <c r="B87" s="314"/>
      <c r="C87" s="314"/>
      <c r="D87" s="314"/>
      <c r="E87" s="314"/>
      <c r="F87" s="314"/>
      <c r="G87" s="314"/>
      <c r="H87" s="314"/>
      <c r="I87" s="314"/>
      <c r="J87" s="314"/>
      <c r="K87" s="314"/>
      <c r="L87" s="314"/>
      <c r="M87" s="314"/>
      <c r="N87" s="314"/>
      <c r="O87" s="314"/>
      <c r="P87" s="20"/>
    </row>
    <row r="88" spans="1:16" ht="15" hidden="1" customHeight="1" x14ac:dyDescent="0.35">
      <c r="A88" s="21"/>
      <c r="B88" s="21"/>
      <c r="C88" s="21"/>
      <c r="D88" s="21"/>
      <c r="E88" s="21"/>
      <c r="F88" s="21"/>
      <c r="G88" s="21"/>
      <c r="H88" s="21"/>
      <c r="I88" s="21"/>
      <c r="J88" s="21"/>
      <c r="K88" s="21"/>
      <c r="L88" s="21"/>
      <c r="M88" s="21"/>
      <c r="N88" s="22"/>
      <c r="O88" s="22"/>
      <c r="P88" s="22"/>
    </row>
    <row r="89" spans="1:16" ht="15" hidden="1" customHeight="1" x14ac:dyDescent="0.35">
      <c r="A89" s="21"/>
      <c r="B89" s="142" t="e">
        <f ca="1">translate("TimingIA", CurrentLanguage)</f>
        <v>#NAME?</v>
      </c>
      <c r="C89" s="143"/>
      <c r="D89" s="144"/>
      <c r="E89" s="170" t="e">
        <f ca="1">translate("InterimYearEnd", CurrentLanguage)</f>
        <v>#NAME?</v>
      </c>
      <c r="F89" s="171"/>
      <c r="G89" s="172"/>
      <c r="H89" s="155"/>
      <c r="I89" s="156"/>
      <c r="J89" s="21"/>
      <c r="K89" s="21"/>
      <c r="L89" s="21"/>
      <c r="M89" s="21"/>
      <c r="N89" s="21"/>
      <c r="O89" s="21"/>
      <c r="P89" s="21"/>
    </row>
    <row r="90" spans="1:16" ht="15" hidden="1" customHeight="1" x14ac:dyDescent="0.35">
      <c r="A90" s="21"/>
      <c r="B90" s="145"/>
      <c r="C90" s="146"/>
      <c r="D90" s="147"/>
      <c r="E90" s="170" t="e">
        <f ca="1">translate("PeriodFrom", CurrentLanguage)</f>
        <v>#NAME?</v>
      </c>
      <c r="F90" s="171"/>
      <c r="G90" s="172"/>
      <c r="H90" s="162"/>
      <c r="I90" s="163"/>
      <c r="J90" s="21"/>
      <c r="K90" s="21"/>
      <c r="L90" s="21"/>
      <c r="M90" s="21"/>
      <c r="N90" s="21"/>
      <c r="O90" s="21"/>
      <c r="P90" s="21"/>
    </row>
    <row r="91" spans="1:16" ht="15" hidden="1" customHeight="1" x14ac:dyDescent="0.35">
      <c r="A91" s="21"/>
      <c r="B91" s="148"/>
      <c r="C91" s="149"/>
      <c r="D91" s="150"/>
      <c r="E91" s="170" t="e">
        <f ca="1">translate("PeriodTo", CurrentLanguage)</f>
        <v>#NAME?</v>
      </c>
      <c r="F91" s="171"/>
      <c r="G91" s="172"/>
      <c r="H91" s="162"/>
      <c r="I91" s="163"/>
      <c r="J91" s="21"/>
      <c r="K91" s="21"/>
      <c r="L91" s="21"/>
      <c r="M91" s="21"/>
      <c r="N91" s="21"/>
      <c r="O91" s="21"/>
      <c r="P91" s="21"/>
    </row>
    <row r="92" spans="1:16" ht="15" hidden="1" customHeight="1" x14ac:dyDescent="0.35">
      <c r="A92" s="21"/>
      <c r="B92" s="21"/>
      <c r="C92" s="21"/>
      <c r="D92" s="21"/>
      <c r="E92" s="35"/>
      <c r="F92" s="35"/>
      <c r="G92" s="35"/>
      <c r="H92" s="21"/>
      <c r="I92" s="21"/>
      <c r="J92" s="21"/>
      <c r="K92" s="21"/>
      <c r="L92" s="21"/>
      <c r="M92" s="21"/>
      <c r="N92" s="21"/>
      <c r="O92" s="21"/>
      <c r="P92" s="22"/>
    </row>
    <row r="93" spans="1:16" ht="15" hidden="1" customHeight="1" x14ac:dyDescent="0.35">
      <c r="A93" s="21"/>
      <c r="B93" s="142" t="e">
        <f ca="1">translate("ExtentTOC2", CurrentLanguage)</f>
        <v>#NAME?</v>
      </c>
      <c r="C93" s="143"/>
      <c r="D93" s="144"/>
      <c r="E93" s="170" t="e">
        <f ca="1">translate("SampleSize", CurrentLanguage)</f>
        <v>#NAME?</v>
      </c>
      <c r="F93" s="171"/>
      <c r="G93" s="172"/>
      <c r="H93" s="155"/>
      <c r="I93" s="156"/>
      <c r="J93" s="21"/>
      <c r="K93" s="21"/>
      <c r="L93" s="21"/>
      <c r="M93" s="21"/>
      <c r="N93" s="21"/>
      <c r="O93" s="21"/>
      <c r="P93" s="21"/>
    </row>
    <row r="94" spans="1:16" ht="15" hidden="1" customHeight="1" x14ac:dyDescent="0.35">
      <c r="A94" s="21"/>
      <c r="B94" s="145"/>
      <c r="C94" s="146"/>
      <c r="D94" s="147"/>
      <c r="E94" s="142" t="e">
        <f ca="1">translate("DocPopulation", CurrentLanguage)</f>
        <v>#NAME?</v>
      </c>
      <c r="F94" s="143"/>
      <c r="G94" s="144"/>
      <c r="H94" s="141"/>
      <c r="I94" s="141"/>
      <c r="J94" s="141"/>
      <c r="K94" s="141"/>
      <c r="L94" s="141"/>
      <c r="M94" s="141"/>
      <c r="N94" s="141"/>
      <c r="O94" s="141"/>
      <c r="P94" s="21"/>
    </row>
    <row r="95" spans="1:16" ht="15" hidden="1" customHeight="1" x14ac:dyDescent="0.35">
      <c r="A95" s="21"/>
      <c r="B95" s="145"/>
      <c r="C95" s="146"/>
      <c r="D95" s="147"/>
      <c r="E95" s="142" t="e">
        <f ca="1">translate("DocSampleMethod", CurrentLanguage)</f>
        <v>#NAME?</v>
      </c>
      <c r="F95" s="143"/>
      <c r="G95" s="144"/>
      <c r="H95" s="141"/>
      <c r="I95" s="141"/>
      <c r="J95" s="141"/>
      <c r="K95" s="141"/>
      <c r="L95" s="141"/>
      <c r="M95" s="141"/>
      <c r="N95" s="141"/>
      <c r="O95" s="141"/>
      <c r="P95" s="21"/>
    </row>
    <row r="96" spans="1:16" ht="15" hidden="1" customHeight="1" x14ac:dyDescent="0.35">
      <c r="A96" s="21"/>
      <c r="B96" s="148"/>
      <c r="C96" s="149"/>
      <c r="D96" s="150"/>
      <c r="E96" s="232" t="e">
        <f ca="1">translate("DocSpecialConsider", CurrentLanguage)</f>
        <v>#NAME?</v>
      </c>
      <c r="F96" s="232"/>
      <c r="G96" s="232"/>
      <c r="H96" s="141"/>
      <c r="I96" s="141"/>
      <c r="J96" s="141"/>
      <c r="K96" s="141"/>
      <c r="L96" s="141"/>
      <c r="M96" s="141"/>
      <c r="N96" s="141"/>
      <c r="O96" s="141"/>
      <c r="P96" s="21"/>
    </row>
    <row r="97" spans="1:16" ht="15" hidden="1" customHeight="1" x14ac:dyDescent="0.35">
      <c r="A97" s="21"/>
      <c r="B97" s="21"/>
      <c r="C97" s="21"/>
      <c r="D97" s="21"/>
      <c r="E97" s="21"/>
      <c r="F97" s="21"/>
      <c r="G97" s="21"/>
      <c r="H97" s="21"/>
      <c r="I97" s="21"/>
      <c r="J97" s="21"/>
      <c r="K97" s="21"/>
      <c r="L97" s="21"/>
      <c r="M97" s="21"/>
      <c r="N97" s="21"/>
      <c r="O97" s="21"/>
      <c r="P97" s="22"/>
    </row>
    <row r="98" spans="1:16" ht="15" hidden="1" customHeight="1" x14ac:dyDescent="0.35">
      <c r="A98" s="21"/>
      <c r="B98" s="170" t="e">
        <f ca="1">translate("EvalNature", CurrentLanguage)</f>
        <v>#NAME?</v>
      </c>
      <c r="C98" s="171"/>
      <c r="D98" s="171"/>
      <c r="E98" s="171"/>
      <c r="F98" s="171"/>
      <c r="G98" s="171"/>
      <c r="H98" s="171"/>
      <c r="I98" s="171"/>
      <c r="J98" s="171"/>
      <c r="K98" s="172"/>
      <c r="L98" s="22"/>
      <c r="M98" s="22"/>
      <c r="N98" s="22"/>
      <c r="O98" s="22"/>
      <c r="P98" s="22"/>
    </row>
    <row r="99" spans="1:16" ht="15" hidden="1" customHeight="1" x14ac:dyDescent="0.35">
      <c r="A99" s="21"/>
      <c r="B99" s="22"/>
      <c r="C99" s="170" t="e">
        <f ca="1">translate("IAAppropriate", CurrentLanguage)</f>
        <v>#NAME?</v>
      </c>
      <c r="D99" s="171"/>
      <c r="E99" s="171"/>
      <c r="F99" s="171"/>
      <c r="G99" s="171"/>
      <c r="H99" s="171"/>
      <c r="I99" s="171"/>
      <c r="J99" s="171"/>
      <c r="K99" s="81"/>
      <c r="L99" s="22"/>
      <c r="M99" s="22"/>
      <c r="N99" s="22"/>
      <c r="O99" s="22"/>
      <c r="P99" s="21"/>
    </row>
    <row r="100" spans="1:16" ht="15" hidden="1" customHeight="1" x14ac:dyDescent="0.35">
      <c r="A100" s="21"/>
      <c r="B100" s="22"/>
      <c r="C100" s="232" t="e">
        <f ca="1">translate("DescribeWhy", CurrentLanguage)</f>
        <v>#NAME?</v>
      </c>
      <c r="D100" s="232"/>
      <c r="E100" s="232"/>
      <c r="F100" s="253"/>
      <c r="G100" s="253"/>
      <c r="H100" s="253"/>
      <c r="I100" s="253"/>
      <c r="J100" s="253"/>
      <c r="K100" s="253"/>
      <c r="L100" s="253"/>
      <c r="M100" s="253"/>
      <c r="N100" s="253"/>
      <c r="O100" s="253"/>
      <c r="P100" s="36"/>
    </row>
    <row r="101" spans="1:16" ht="15" hidden="1" customHeight="1" x14ac:dyDescent="0.35">
      <c r="A101" s="21"/>
      <c r="B101" s="21"/>
      <c r="C101" s="21"/>
      <c r="D101" s="21"/>
      <c r="E101" s="21"/>
      <c r="F101" s="21"/>
      <c r="G101" s="21"/>
      <c r="H101" s="21"/>
      <c r="I101" s="21"/>
      <c r="J101" s="21"/>
      <c r="K101" s="21"/>
      <c r="L101" s="21"/>
      <c r="M101" s="21"/>
      <c r="N101" s="22"/>
      <c r="O101" s="22"/>
      <c r="P101" s="22"/>
    </row>
    <row r="102" spans="1:16" ht="15" hidden="1" customHeight="1" x14ac:dyDescent="0.35">
      <c r="A102" s="308" t="e">
        <f ca="1">translate("ReperfTOC", CurrentLanguage)</f>
        <v>#NAME?</v>
      </c>
      <c r="B102" s="309"/>
      <c r="C102" s="309"/>
      <c r="D102" s="309"/>
      <c r="E102" s="309"/>
      <c r="F102" s="309"/>
      <c r="G102" s="309"/>
      <c r="H102" s="309"/>
      <c r="I102" s="309"/>
      <c r="J102" s="309"/>
      <c r="K102" s="309"/>
      <c r="L102" s="309"/>
      <c r="M102" s="309"/>
      <c r="N102" s="309"/>
      <c r="O102" s="309"/>
      <c r="P102" s="20"/>
    </row>
    <row r="103" spans="1:16" ht="15" hidden="1" customHeight="1" x14ac:dyDescent="0.35">
      <c r="A103" s="37"/>
      <c r="B103" s="37"/>
      <c r="C103" s="37"/>
      <c r="D103" s="37"/>
      <c r="E103" s="37"/>
      <c r="F103" s="37"/>
      <c r="G103" s="37"/>
      <c r="H103" s="37"/>
      <c r="I103" s="37"/>
      <c r="J103" s="37"/>
      <c r="K103" s="37"/>
      <c r="L103" s="37"/>
      <c r="M103" s="37"/>
      <c r="N103" s="22"/>
      <c r="O103" s="22"/>
      <c r="P103" s="22"/>
    </row>
    <row r="104" spans="1:16" ht="15" hidden="1" customHeight="1" x14ac:dyDescent="0.35">
      <c r="A104" s="37"/>
      <c r="B104" s="170" t="e">
        <f ca="1">translate("NumSelection", CurrentLanguage)</f>
        <v>#NAME?</v>
      </c>
      <c r="C104" s="171"/>
      <c r="D104" s="171"/>
      <c r="E104" s="172"/>
      <c r="F104" s="82"/>
      <c r="G104" s="37"/>
      <c r="H104" s="37"/>
      <c r="I104" s="170" t="e">
        <f ca="1">translate("CalculatedPercent", CurrentLanguage)</f>
        <v>#NAME?</v>
      </c>
      <c r="J104" s="171"/>
      <c r="K104" s="171"/>
      <c r="L104" s="172"/>
      <c r="M104" s="38">
        <f>IFERROR(F104/H93,0)</f>
        <v>0</v>
      </c>
      <c r="N104" s="37"/>
      <c r="O104" s="37"/>
      <c r="P104" s="22"/>
    </row>
    <row r="105" spans="1:16" ht="15" hidden="1" customHeight="1" x14ac:dyDescent="0.35">
      <c r="A105" s="37"/>
      <c r="B105" s="37"/>
      <c r="C105" s="37"/>
      <c r="D105" s="37"/>
      <c r="E105" s="37"/>
      <c r="F105" s="37"/>
      <c r="G105" s="37"/>
      <c r="H105" s="37"/>
      <c r="I105" s="37"/>
      <c r="J105" s="37"/>
      <c r="K105" s="37"/>
      <c r="L105" s="37"/>
      <c r="M105" s="37"/>
      <c r="N105" s="22"/>
      <c r="O105" s="22"/>
      <c r="P105" s="22"/>
    </row>
    <row r="106" spans="1:16" ht="15" hidden="1" customHeight="1" x14ac:dyDescent="0.35">
      <c r="A106" s="37"/>
      <c r="B106" s="170" t="e">
        <f ca="1">translate("DocReperformance", CurrentLanguage)</f>
        <v>#NAME?</v>
      </c>
      <c r="C106" s="171"/>
      <c r="D106" s="171"/>
      <c r="E106" s="171"/>
      <c r="F106" s="171"/>
      <c r="G106" s="172"/>
      <c r="H106" s="185"/>
      <c r="I106" s="186"/>
      <c r="J106" s="186"/>
      <c r="K106" s="186"/>
      <c r="L106" s="186"/>
      <c r="M106" s="186"/>
      <c r="N106" s="186"/>
      <c r="O106" s="187"/>
      <c r="P106" s="37"/>
    </row>
    <row r="107" spans="1:16" ht="15" hidden="1" customHeight="1" x14ac:dyDescent="0.35">
      <c r="A107" s="37"/>
      <c r="B107" s="37"/>
      <c r="C107" s="37"/>
      <c r="D107" s="37"/>
      <c r="E107" s="37"/>
      <c r="F107" s="37"/>
      <c r="G107" s="37"/>
      <c r="H107" s="37"/>
      <c r="I107" s="37"/>
      <c r="J107" s="37"/>
      <c r="K107" s="37"/>
      <c r="L107" s="37"/>
      <c r="M107" s="37"/>
      <c r="N107" s="22"/>
      <c r="O107" s="22"/>
      <c r="P107" s="22"/>
    </row>
    <row r="108" spans="1:16" ht="15" hidden="1" customHeight="1" x14ac:dyDescent="0.35">
      <c r="A108" s="39"/>
      <c r="B108" s="8"/>
      <c r="C108" s="174" t="e">
        <f ca="1">translate("DesignAttrib", CurrentLanguage)</f>
        <v>#NAME?</v>
      </c>
      <c r="D108" s="175"/>
      <c r="E108" s="175"/>
      <c r="F108" s="176"/>
      <c r="G108" s="174" t="e">
        <f ca="1">translate("TOCProcReperform", CurrentLanguage)</f>
        <v>#NAME?</v>
      </c>
      <c r="H108" s="175"/>
      <c r="I108" s="175"/>
      <c r="J108" s="175"/>
      <c r="K108" s="175"/>
      <c r="L108" s="175"/>
      <c r="M108" s="175"/>
      <c r="N108" s="175"/>
      <c r="O108" s="176"/>
      <c r="P108" s="8"/>
    </row>
    <row r="109" spans="1:16" ht="15" hidden="1" customHeight="1" x14ac:dyDescent="0.35">
      <c r="A109" s="101" t="s">
        <v>11</v>
      </c>
      <c r="B109" s="40" t="s">
        <v>14</v>
      </c>
      <c r="C109" s="177"/>
      <c r="D109" s="178"/>
      <c r="E109" s="178"/>
      <c r="F109" s="179"/>
      <c r="G109" s="177"/>
      <c r="H109" s="178"/>
      <c r="I109" s="178"/>
      <c r="J109" s="178"/>
      <c r="K109" s="178"/>
      <c r="L109" s="178"/>
      <c r="M109" s="178"/>
      <c r="N109" s="178"/>
      <c r="O109" s="179"/>
      <c r="P109" s="8"/>
    </row>
    <row r="110" spans="1:16" ht="15" hidden="1" customHeight="1" x14ac:dyDescent="0.35">
      <c r="A110" s="101" t="s">
        <v>11</v>
      </c>
      <c r="B110" s="40" t="s">
        <v>15</v>
      </c>
      <c r="C110" s="177"/>
      <c r="D110" s="178"/>
      <c r="E110" s="178"/>
      <c r="F110" s="179"/>
      <c r="G110" s="177"/>
      <c r="H110" s="178"/>
      <c r="I110" s="178"/>
      <c r="J110" s="178"/>
      <c r="K110" s="178"/>
      <c r="L110" s="178"/>
      <c r="M110" s="178"/>
      <c r="N110" s="178"/>
      <c r="O110" s="179"/>
      <c r="P110" s="8"/>
    </row>
    <row r="111" spans="1:16" ht="15" hidden="1" customHeight="1" x14ac:dyDescent="0.35">
      <c r="A111" s="101" t="s">
        <v>11</v>
      </c>
      <c r="B111" s="40" t="s">
        <v>16</v>
      </c>
      <c r="C111" s="177"/>
      <c r="D111" s="178"/>
      <c r="E111" s="178"/>
      <c r="F111" s="179"/>
      <c r="G111" s="177"/>
      <c r="H111" s="178"/>
      <c r="I111" s="178"/>
      <c r="J111" s="178"/>
      <c r="K111" s="178"/>
      <c r="L111" s="178"/>
      <c r="M111" s="178"/>
      <c r="N111" s="178"/>
      <c r="O111" s="179"/>
      <c r="P111" s="8"/>
    </row>
    <row r="112" spans="1:16" ht="15" hidden="1" customHeight="1" x14ac:dyDescent="0.35">
      <c r="A112" s="101" t="s">
        <v>12</v>
      </c>
      <c r="B112" s="40" t="s">
        <v>17</v>
      </c>
      <c r="C112" s="177"/>
      <c r="D112" s="178"/>
      <c r="E112" s="178"/>
      <c r="F112" s="179"/>
      <c r="G112" s="177"/>
      <c r="H112" s="178"/>
      <c r="I112" s="178"/>
      <c r="J112" s="178"/>
      <c r="K112" s="178"/>
      <c r="L112" s="178"/>
      <c r="M112" s="178"/>
      <c r="N112" s="178"/>
      <c r="O112" s="179"/>
      <c r="P112" s="8"/>
    </row>
    <row r="113" spans="1:16" ht="15" hidden="1" customHeight="1" x14ac:dyDescent="0.35">
      <c r="A113" s="99"/>
      <c r="B113" s="42" t="e">
        <f ca="1">translate("AddRowsAsNec", CurrentLanguage)</f>
        <v>#NAME?</v>
      </c>
      <c r="C113" s="41"/>
      <c r="D113" s="41"/>
      <c r="E113" s="41"/>
      <c r="F113" s="41"/>
      <c r="G113" s="41"/>
      <c r="H113" s="41"/>
      <c r="I113" s="41"/>
      <c r="J113" s="41"/>
      <c r="K113" s="41"/>
      <c r="L113" s="41"/>
      <c r="M113" s="8"/>
      <c r="N113" s="8"/>
      <c r="O113" s="8"/>
      <c r="P113" s="8"/>
    </row>
    <row r="114" spans="1:16" s="105" customFormat="1" ht="15" hidden="1" customHeight="1" x14ac:dyDescent="0.35">
      <c r="A114" s="46"/>
      <c r="B114" s="8"/>
      <c r="C114" s="43"/>
      <c r="D114" s="43"/>
      <c r="E114" s="43"/>
      <c r="F114" s="8"/>
      <c r="G114" s="8"/>
      <c r="H114" s="44" t="e">
        <f ca="1">translate("ResultsOfPRoc", CurrentLanguage)</f>
        <v>#NAME?</v>
      </c>
      <c r="I114" s="104"/>
      <c r="J114" s="104"/>
      <c r="K114" s="104"/>
      <c r="L114" s="104"/>
    </row>
    <row r="115" spans="1:16" s="106" customFormat="1" ht="15" hidden="1" customHeight="1" x14ac:dyDescent="0.35">
      <c r="A115" s="46"/>
      <c r="B115" s="47"/>
      <c r="C115" s="46"/>
      <c r="D115" s="46"/>
      <c r="E115" s="46"/>
      <c r="F115" s="48"/>
      <c r="G115" s="48"/>
      <c r="H115" s="110" t="s">
        <v>11</v>
      </c>
      <c r="I115" s="110" t="s">
        <v>11</v>
      </c>
      <c r="J115" s="110" t="s">
        <v>11</v>
      </c>
      <c r="K115" s="110" t="s">
        <v>11</v>
      </c>
      <c r="L115" s="110" t="s">
        <v>12</v>
      </c>
    </row>
    <row r="116" spans="1:16" s="105" customFormat="1" ht="24" hidden="1" customHeight="1" x14ac:dyDescent="0.35">
      <c r="A116" s="46"/>
      <c r="B116" s="49" t="e">
        <f ca="1">translate("SampleItem", CurrentLanguage)</f>
        <v>#NAME?</v>
      </c>
      <c r="C116" s="297" t="e">
        <f ca="1">translate("DescSample", CurrentLanguage)</f>
        <v>#NAME?</v>
      </c>
      <c r="D116" s="298"/>
      <c r="E116" s="299"/>
      <c r="F116" s="50" t="e">
        <f ca="1">translate("DatePeriod", CurrentLanguage)</f>
        <v>#NAME?</v>
      </c>
      <c r="G116" s="50" t="e">
        <f ca="1">translate("WPREf2", CurrentLanguage)</f>
        <v>#NAME?</v>
      </c>
      <c r="H116" s="51" t="s">
        <v>14</v>
      </c>
      <c r="I116" s="51" t="s">
        <v>15</v>
      </c>
      <c r="J116" s="51" t="s">
        <v>16</v>
      </c>
      <c r="K116" s="51" t="s">
        <v>17</v>
      </c>
      <c r="L116" s="51" t="s">
        <v>139</v>
      </c>
    </row>
    <row r="117" spans="1:16" s="105" customFormat="1" ht="15" hidden="1" customHeight="1" x14ac:dyDescent="0.35">
      <c r="A117" s="101" t="s">
        <v>11</v>
      </c>
      <c r="B117" s="52">
        <v>1</v>
      </c>
      <c r="C117" s="250"/>
      <c r="D117" s="251"/>
      <c r="E117" s="252"/>
      <c r="F117" s="83"/>
      <c r="G117" s="84"/>
      <c r="H117" s="85"/>
      <c r="I117" s="85"/>
      <c r="J117" s="85"/>
      <c r="K117" s="85"/>
      <c r="L117" s="85"/>
    </row>
    <row r="118" spans="1:16" s="105" customFormat="1" ht="15" hidden="1" customHeight="1" x14ac:dyDescent="0.35">
      <c r="A118" s="101" t="s">
        <v>11</v>
      </c>
      <c r="B118" s="52">
        <v>2</v>
      </c>
      <c r="C118" s="250"/>
      <c r="D118" s="251"/>
      <c r="E118" s="252"/>
      <c r="F118" s="83"/>
      <c r="G118" s="84"/>
      <c r="H118" s="85"/>
      <c r="I118" s="85"/>
      <c r="J118" s="85"/>
      <c r="K118" s="85"/>
      <c r="L118" s="85"/>
    </row>
    <row r="119" spans="1:16" s="105" customFormat="1" ht="15" hidden="1" customHeight="1" x14ac:dyDescent="0.35">
      <c r="A119" s="101" t="s">
        <v>11</v>
      </c>
      <c r="B119" s="52">
        <v>3</v>
      </c>
      <c r="C119" s="250"/>
      <c r="D119" s="251"/>
      <c r="E119" s="252"/>
      <c r="F119" s="83"/>
      <c r="G119" s="84"/>
      <c r="H119" s="85"/>
      <c r="I119" s="85"/>
      <c r="J119" s="85"/>
      <c r="K119" s="85"/>
      <c r="L119" s="85"/>
    </row>
    <row r="120" spans="1:16" s="105" customFormat="1" ht="15" hidden="1" customHeight="1" x14ac:dyDescent="0.35">
      <c r="A120" s="101" t="s">
        <v>11</v>
      </c>
      <c r="B120" s="52">
        <v>4</v>
      </c>
      <c r="C120" s="250"/>
      <c r="D120" s="251"/>
      <c r="E120" s="252"/>
      <c r="F120" s="83"/>
      <c r="G120" s="84"/>
      <c r="H120" s="85"/>
      <c r="I120" s="85"/>
      <c r="J120" s="85"/>
      <c r="K120" s="85"/>
      <c r="L120" s="85"/>
    </row>
    <row r="121" spans="1:16" s="105" customFormat="1" ht="15" hidden="1" customHeight="1" x14ac:dyDescent="0.35">
      <c r="A121" s="101" t="s">
        <v>12</v>
      </c>
      <c r="B121" s="100">
        <v>5</v>
      </c>
      <c r="C121" s="250"/>
      <c r="D121" s="251"/>
      <c r="E121" s="252"/>
      <c r="F121" s="83"/>
      <c r="G121" s="84"/>
      <c r="H121" s="85"/>
      <c r="I121" s="85"/>
      <c r="J121" s="85"/>
      <c r="K121" s="85"/>
      <c r="L121" s="85"/>
    </row>
    <row r="122" spans="1:16" ht="15" hidden="1" customHeight="1" x14ac:dyDescent="0.35">
      <c r="A122" s="53"/>
      <c r="B122" s="42" t="e">
        <f ca="1">translate("AddRowsAsNec", CurrentLanguage)</f>
        <v>#NAME?</v>
      </c>
      <c r="C122" s="53"/>
      <c r="D122" s="53"/>
      <c r="E122" s="53"/>
      <c r="F122" s="53"/>
      <c r="G122" s="53"/>
      <c r="H122" s="53"/>
      <c r="I122" s="8"/>
      <c r="J122" s="53"/>
      <c r="K122" s="8"/>
      <c r="L122" s="8"/>
      <c r="M122" s="8"/>
      <c r="N122" s="8"/>
      <c r="O122" s="8"/>
      <c r="P122" s="8"/>
    </row>
    <row r="123" spans="1:16" ht="15" hidden="1" customHeight="1" x14ac:dyDescent="0.35">
      <c r="A123" s="37"/>
      <c r="B123" s="54"/>
      <c r="C123" s="54"/>
      <c r="D123" s="54"/>
      <c r="E123" s="54"/>
      <c r="F123" s="54"/>
      <c r="G123" s="54"/>
      <c r="H123" s="54"/>
      <c r="I123" s="54"/>
      <c r="J123" s="54"/>
      <c r="K123" s="54"/>
      <c r="L123" s="54"/>
      <c r="M123" s="37"/>
      <c r="N123" s="22"/>
      <c r="O123" s="22"/>
      <c r="P123" s="22"/>
    </row>
    <row r="124" spans="1:16" ht="15" hidden="1" customHeight="1" x14ac:dyDescent="0.35">
      <c r="A124" s="37"/>
      <c r="B124" s="300" t="e">
        <f ca="1">translate("TickmarkKey", CurrentLanguage)</f>
        <v>#NAME?</v>
      </c>
      <c r="C124" s="301"/>
      <c r="D124" s="301"/>
      <c r="E124" s="301"/>
      <c r="F124" s="301"/>
      <c r="G124" s="301"/>
      <c r="H124" s="301"/>
      <c r="I124" s="301"/>
      <c r="J124" s="301"/>
      <c r="K124" s="301"/>
      <c r="L124" s="302"/>
      <c r="M124" s="37"/>
      <c r="N124" s="22"/>
      <c r="O124" s="22"/>
      <c r="P124" s="22"/>
    </row>
    <row r="125" spans="1:16" ht="15" hidden="1" customHeight="1" x14ac:dyDescent="0.35">
      <c r="A125" s="37"/>
      <c r="B125" s="55" t="s">
        <v>18</v>
      </c>
      <c r="C125" s="241" t="e">
        <f ca="1">translate("AttributeSat", CurrentLanguage)</f>
        <v>#NAME?</v>
      </c>
      <c r="D125" s="242"/>
      <c r="E125" s="242"/>
      <c r="F125" s="242"/>
      <c r="G125" s="242"/>
      <c r="H125" s="242"/>
      <c r="I125" s="242"/>
      <c r="J125" s="242"/>
      <c r="K125" s="242"/>
      <c r="L125" s="243"/>
      <c r="M125" s="37"/>
      <c r="N125" s="22"/>
      <c r="O125" s="22"/>
      <c r="P125" s="22"/>
    </row>
    <row r="126" spans="1:16" ht="15" hidden="1" customHeight="1" x14ac:dyDescent="0.35">
      <c r="A126" s="37"/>
      <c r="B126" s="56" t="e">
        <f ca="1">translate("AddRowsForTick", CurrentLanguage)</f>
        <v>#NAME?</v>
      </c>
      <c r="C126" s="57"/>
      <c r="D126" s="57"/>
      <c r="E126" s="57"/>
      <c r="F126" s="57"/>
      <c r="G126" s="57"/>
      <c r="H126" s="57"/>
      <c r="I126" s="57"/>
      <c r="J126" s="57"/>
      <c r="K126" s="57"/>
      <c r="L126" s="57"/>
      <c r="M126" s="37"/>
      <c r="N126" s="22"/>
      <c r="O126" s="22"/>
      <c r="P126" s="22"/>
    </row>
    <row r="127" spans="1:16" ht="15" hidden="1" customHeight="1" x14ac:dyDescent="0.35">
      <c r="A127" s="37"/>
      <c r="B127" s="58"/>
      <c r="C127" s="57"/>
      <c r="D127" s="57"/>
      <c r="E127" s="57"/>
      <c r="F127" s="57"/>
      <c r="G127" s="57"/>
      <c r="H127" s="57"/>
      <c r="I127" s="57"/>
      <c r="J127" s="57"/>
      <c r="K127" s="57"/>
      <c r="L127" s="57"/>
      <c r="M127" s="37"/>
      <c r="N127" s="22"/>
      <c r="O127" s="22"/>
      <c r="P127" s="22"/>
    </row>
    <row r="128" spans="1:16" ht="15" hidden="1" customHeight="1" x14ac:dyDescent="0.35">
      <c r="A128" s="218" t="e">
        <f ca="1">translate("IAFunction2", CurrentLanguage)</f>
        <v>#NAME?</v>
      </c>
      <c r="B128" s="219"/>
      <c r="C128" s="219"/>
      <c r="D128" s="219"/>
      <c r="E128" s="219"/>
      <c r="F128" s="219"/>
      <c r="G128" s="219"/>
      <c r="H128" s="219"/>
      <c r="I128" s="219"/>
      <c r="J128" s="219"/>
      <c r="K128" s="219"/>
      <c r="L128" s="219"/>
      <c r="M128" s="219"/>
      <c r="N128" s="219"/>
      <c r="O128" s="220"/>
      <c r="P128" s="22"/>
    </row>
    <row r="129" spans="1:16" ht="15" hidden="1" customHeight="1" outlineLevel="1" x14ac:dyDescent="0.35">
      <c r="A129" s="227" t="e">
        <f ca="1">translate("Guidance", CurrentLanguage)</f>
        <v>#NAME?</v>
      </c>
      <c r="B129" s="228"/>
      <c r="C129" s="229" t="e">
        <f ca="1">translate("PrelimEvalNote", CurrentLanguage)</f>
        <v>#NAME?</v>
      </c>
      <c r="D129" s="229"/>
      <c r="E129" s="229"/>
      <c r="F129" s="229"/>
      <c r="G129" s="229"/>
      <c r="H129" s="229"/>
      <c r="I129" s="229"/>
      <c r="J129" s="229"/>
      <c r="K129" s="229"/>
      <c r="L129" s="229"/>
      <c r="M129" s="229"/>
      <c r="N129" s="229"/>
      <c r="O129" s="229"/>
      <c r="P129" s="22"/>
    </row>
    <row r="130" spans="1:16" ht="15" hidden="1" customHeight="1" x14ac:dyDescent="0.35">
      <c r="A130" s="21"/>
      <c r="B130" s="21"/>
      <c r="C130" s="21"/>
      <c r="D130" s="21"/>
      <c r="E130" s="21"/>
      <c r="F130" s="21"/>
      <c r="G130" s="21"/>
      <c r="H130" s="21"/>
      <c r="I130" s="21"/>
      <c r="J130" s="21"/>
      <c r="K130" s="21"/>
      <c r="L130" s="21"/>
      <c r="M130" s="21"/>
      <c r="N130" s="22"/>
      <c r="O130" s="22"/>
      <c r="P130" s="22"/>
    </row>
    <row r="131" spans="1:16" ht="15" hidden="1" customHeight="1" x14ac:dyDescent="0.35">
      <c r="A131" s="21"/>
      <c r="B131" s="212" t="e">
        <f ca="1">translate("OperateEff", CurrentLanguage)</f>
        <v>#NAME?</v>
      </c>
      <c r="C131" s="212"/>
      <c r="D131" s="212"/>
      <c r="E131" s="212"/>
      <c r="F131" s="212"/>
      <c r="G131" s="212"/>
      <c r="H131" s="155"/>
      <c r="I131" s="156"/>
      <c r="J131" s="59"/>
      <c r="K131" s="22"/>
      <c r="L131" s="22"/>
      <c r="M131" s="21"/>
      <c r="N131" s="21"/>
      <c r="O131" s="21"/>
      <c r="P131" s="21"/>
    </row>
    <row r="132" spans="1:16" ht="15" hidden="1" customHeight="1" x14ac:dyDescent="0.35">
      <c r="A132" s="21"/>
      <c r="B132" s="212" t="e">
        <f ca="1">translate("AgreeWithConclude", CurrentLanguage)</f>
        <v>#NAME?</v>
      </c>
      <c r="C132" s="212"/>
      <c r="D132" s="212"/>
      <c r="E132" s="212"/>
      <c r="F132" s="212"/>
      <c r="G132" s="212"/>
      <c r="H132" s="86"/>
      <c r="I132" s="22"/>
      <c r="J132" s="22"/>
      <c r="K132" s="22"/>
      <c r="L132" s="22"/>
      <c r="M132" s="21"/>
      <c r="N132" s="21"/>
      <c r="O132" s="21"/>
      <c r="P132" s="21"/>
    </row>
    <row r="133" spans="1:16" ht="15" hidden="1" customHeight="1" x14ac:dyDescent="0.35">
      <c r="A133" s="21"/>
      <c r="B133" s="165" t="e">
        <f ca="1">translate("DescribeWhy3", CurrentLanguage)</f>
        <v>#NAME?</v>
      </c>
      <c r="C133" s="166"/>
      <c r="D133" s="167"/>
      <c r="E133" s="155"/>
      <c r="F133" s="160"/>
      <c r="G133" s="160"/>
      <c r="H133" s="160"/>
      <c r="I133" s="160"/>
      <c r="J133" s="160"/>
      <c r="K133" s="160"/>
      <c r="L133" s="160"/>
      <c r="M133" s="160"/>
      <c r="N133" s="160"/>
      <c r="O133" s="156"/>
      <c r="P133" s="22"/>
    </row>
    <row r="134" spans="1:16" ht="15" hidden="1" customHeight="1" x14ac:dyDescent="0.35">
      <c r="A134" s="21"/>
      <c r="B134" s="21"/>
      <c r="C134" s="21"/>
      <c r="D134" s="21"/>
      <c r="E134" s="21"/>
      <c r="F134" s="21"/>
      <c r="G134" s="21"/>
      <c r="H134" s="21"/>
      <c r="I134" s="21"/>
      <c r="J134" s="21"/>
      <c r="K134" s="21"/>
      <c r="L134" s="21"/>
      <c r="M134" s="21"/>
      <c r="N134" s="22"/>
      <c r="O134" s="22"/>
      <c r="P134" s="22"/>
    </row>
    <row r="135" spans="1:16" ht="15" hidden="1" customHeight="1" x14ac:dyDescent="0.35">
      <c r="A135" s="21"/>
      <c r="B135" s="212" t="e">
        <f ca="1">translate("ControlDef", CurrentLanguage)</f>
        <v>#NAME?</v>
      </c>
      <c r="C135" s="212"/>
      <c r="D135" s="212"/>
      <c r="E135" s="212"/>
      <c r="F135" s="87"/>
      <c r="G135" s="22"/>
      <c r="H135" s="22"/>
      <c r="I135" s="22"/>
      <c r="J135" s="21"/>
      <c r="K135" s="21"/>
      <c r="L135" s="21"/>
      <c r="M135" s="21"/>
      <c r="N135" s="21"/>
      <c r="O135" s="21"/>
      <c r="P135" s="21"/>
    </row>
    <row r="136" spans="1:16" ht="15" hidden="1" customHeight="1" x14ac:dyDescent="0.35">
      <c r="A136" s="21"/>
      <c r="B136" s="165" t="e">
        <f ca="1">translate("DescribeWhy2", CurrentLanguage)</f>
        <v>#NAME?</v>
      </c>
      <c r="C136" s="166"/>
      <c r="D136" s="166"/>
      <c r="E136" s="166"/>
      <c r="F136" s="167"/>
      <c r="G136" s="155"/>
      <c r="H136" s="160"/>
      <c r="I136" s="160"/>
      <c r="J136" s="160"/>
      <c r="K136" s="160"/>
      <c r="L136" s="160"/>
      <c r="M136" s="160"/>
      <c r="N136" s="160"/>
      <c r="O136" s="156"/>
      <c r="P136" s="22"/>
    </row>
    <row r="137" spans="1:16" ht="15" hidden="1" customHeight="1" x14ac:dyDescent="0.35">
      <c r="A137" s="21"/>
      <c r="B137" s="21"/>
      <c r="C137" s="21"/>
      <c r="D137" s="21"/>
      <c r="E137" s="21"/>
      <c r="F137" s="21"/>
      <c r="G137" s="21"/>
      <c r="H137" s="21"/>
      <c r="I137" s="21"/>
      <c r="J137" s="21"/>
      <c r="K137" s="21"/>
      <c r="L137" s="21"/>
      <c r="M137" s="21"/>
      <c r="N137" s="22"/>
      <c r="O137" s="22"/>
      <c r="P137" s="22"/>
    </row>
    <row r="138" spans="1:16" ht="15" hidden="1" customHeight="1" x14ac:dyDescent="0.35">
      <c r="A138" s="21"/>
      <c r="B138" s="165" t="e">
        <f ca="1">translate("IAFunction", CurrentLanguage)</f>
        <v>#NAME?</v>
      </c>
      <c r="C138" s="166"/>
      <c r="D138" s="166"/>
      <c r="E138" s="166"/>
      <c r="F138" s="166"/>
      <c r="G138" s="166"/>
      <c r="H138" s="166"/>
      <c r="I138" s="166"/>
      <c r="J138" s="167"/>
      <c r="K138" s="155"/>
      <c r="L138" s="156"/>
      <c r="M138" s="21"/>
      <c r="N138" s="21"/>
      <c r="O138" s="21"/>
      <c r="P138" s="21"/>
    </row>
    <row r="139" spans="1:16" ht="15" hidden="1" customHeight="1" x14ac:dyDescent="0.35">
      <c r="A139" s="21"/>
      <c r="B139" s="21"/>
      <c r="C139" s="21"/>
      <c r="D139" s="21"/>
      <c r="E139" s="21"/>
      <c r="F139" s="21"/>
      <c r="G139" s="21"/>
      <c r="H139" s="21"/>
      <c r="I139" s="21"/>
      <c r="J139" s="21"/>
      <c r="K139" s="21"/>
      <c r="L139" s="21"/>
      <c r="M139" s="21"/>
      <c r="N139" s="22"/>
      <c r="O139" s="22"/>
      <c r="P139" s="22"/>
    </row>
    <row r="140" spans="1:16" hidden="1" x14ac:dyDescent="0.35">
      <c r="A140" s="273" t="e">
        <f ca="1">translate("NatureTOC", CurrentLanguage)</f>
        <v>#NAME?</v>
      </c>
      <c r="B140" s="273"/>
      <c r="C140" s="273"/>
      <c r="D140" s="273"/>
      <c r="E140" s="273"/>
      <c r="F140" s="273"/>
      <c r="G140" s="273"/>
      <c r="H140" s="273"/>
      <c r="I140" s="273"/>
      <c r="J140" s="273"/>
      <c r="K140" s="273"/>
      <c r="L140" s="273"/>
      <c r="M140" s="273"/>
      <c r="N140" s="273"/>
      <c r="O140" s="273"/>
      <c r="P140" s="8"/>
    </row>
    <row r="141" spans="1:16" hidden="1" outlineLevel="1" x14ac:dyDescent="0.35">
      <c r="A141" s="213" t="e">
        <f ca="1">translate("Guidance", CurrentLanguage)</f>
        <v>#NAME?</v>
      </c>
      <c r="B141" s="213"/>
      <c r="C141" s="221" t="e">
        <f ca="1">translate("TestOfControlsNote", CurrentLanguage)</f>
        <v>#NAME?</v>
      </c>
      <c r="D141" s="222"/>
      <c r="E141" s="222"/>
      <c r="F141" s="222"/>
      <c r="G141" s="222"/>
      <c r="H141" s="222"/>
      <c r="I141" s="222"/>
      <c r="J141" s="222"/>
      <c r="K141" s="222"/>
      <c r="L141" s="222"/>
      <c r="M141" s="222"/>
      <c r="N141" s="222"/>
      <c r="O141" s="223"/>
      <c r="P141" s="8"/>
    </row>
    <row r="142" spans="1:16" hidden="1" x14ac:dyDescent="0.35">
      <c r="A142" s="8"/>
      <c r="B142" s="8"/>
      <c r="C142" s="8"/>
      <c r="D142" s="8"/>
      <c r="E142" s="8"/>
      <c r="F142" s="8"/>
      <c r="G142" s="8"/>
      <c r="H142" s="8"/>
      <c r="I142" s="8"/>
      <c r="J142" s="8"/>
      <c r="K142" s="8"/>
      <c r="L142" s="8"/>
      <c r="M142" s="8"/>
      <c r="N142" s="8"/>
      <c r="O142" s="8"/>
      <c r="P142" s="8"/>
    </row>
    <row r="143" spans="1:16" hidden="1" x14ac:dyDescent="0.35">
      <c r="A143" s="8"/>
      <c r="B143" s="188" t="e">
        <f ca="1">translate("SelectAll", CurrentLanguage)</f>
        <v>#NAME?</v>
      </c>
      <c r="C143" s="202" t="e">
        <f ca="1">translate("InquiryPerf", CurrentLanguage)</f>
        <v>#NAME?</v>
      </c>
      <c r="D143" s="203"/>
      <c r="E143" s="203"/>
      <c r="F143" s="204"/>
      <c r="G143" s="88" t="s">
        <v>18</v>
      </c>
      <c r="H143" s="8"/>
      <c r="I143" s="8"/>
      <c r="J143" s="8"/>
      <c r="K143" s="8"/>
      <c r="L143" s="8"/>
      <c r="M143" s="8"/>
      <c r="N143" s="8"/>
      <c r="O143" s="8"/>
      <c r="P143" s="8"/>
    </row>
    <row r="144" spans="1:16" hidden="1" x14ac:dyDescent="0.35">
      <c r="A144" s="8"/>
      <c r="B144" s="188"/>
      <c r="C144" s="202" t="e">
        <f ca="1">translate("ObserveControl", CurrentLanguage)</f>
        <v>#NAME?</v>
      </c>
      <c r="D144" s="203"/>
      <c r="E144" s="203"/>
      <c r="F144" s="204"/>
      <c r="G144" s="88"/>
      <c r="H144" s="8"/>
      <c r="I144" s="8"/>
      <c r="J144" s="8"/>
      <c r="K144" s="8"/>
      <c r="L144" s="8"/>
      <c r="M144" s="8"/>
      <c r="N144" s="8"/>
      <c r="O144" s="8"/>
      <c r="P144" s="8"/>
    </row>
    <row r="145" spans="1:16" hidden="1" x14ac:dyDescent="0.35">
      <c r="A145" s="8"/>
      <c r="B145" s="188"/>
      <c r="C145" s="202" t="e">
        <f ca="1">translate("InspectionDoc", CurrentLanguage)</f>
        <v>#NAME?</v>
      </c>
      <c r="D145" s="203"/>
      <c r="E145" s="203"/>
      <c r="F145" s="204"/>
      <c r="G145" s="88" t="s">
        <v>18</v>
      </c>
      <c r="H145" s="8"/>
      <c r="I145" s="8"/>
      <c r="J145" s="8"/>
      <c r="K145" s="8"/>
      <c r="L145" s="8"/>
      <c r="M145" s="8"/>
      <c r="N145" s="8"/>
      <c r="O145" s="8"/>
      <c r="P145" s="8"/>
    </row>
    <row r="146" spans="1:16" hidden="1" x14ac:dyDescent="0.35">
      <c r="A146" s="8"/>
      <c r="B146" s="188"/>
      <c r="C146" s="202" t="e">
        <f ca="1">translate("Reperformance", CurrentLanguage)</f>
        <v>#NAME?</v>
      </c>
      <c r="D146" s="203"/>
      <c r="E146" s="203"/>
      <c r="F146" s="204"/>
      <c r="G146" s="88" t="s">
        <v>18</v>
      </c>
      <c r="H146" s="8"/>
      <c r="I146" s="8"/>
      <c r="J146" s="8"/>
      <c r="K146" s="8"/>
      <c r="L146" s="8"/>
      <c r="M146" s="8"/>
      <c r="N146" s="8"/>
      <c r="O146" s="8"/>
      <c r="P146" s="8"/>
    </row>
    <row r="147" spans="1:16" hidden="1" x14ac:dyDescent="0.35">
      <c r="A147" s="8"/>
      <c r="B147" s="8"/>
      <c r="C147" s="8"/>
      <c r="D147" s="8"/>
      <c r="E147" s="8"/>
      <c r="F147" s="8"/>
      <c r="G147" s="8"/>
      <c r="H147" s="8"/>
      <c r="I147" s="8"/>
      <c r="J147" s="8"/>
      <c r="K147" s="8"/>
      <c r="L147" s="8"/>
      <c r="M147" s="8"/>
      <c r="N147" s="8"/>
      <c r="O147" s="8"/>
      <c r="P147" s="8"/>
    </row>
    <row r="148" spans="1:16" ht="20.149999999999999" customHeight="1" x14ac:dyDescent="0.35">
      <c r="A148" s="274" t="e">
        <f ca="1">translate("TimingOfTOC", CurrentLanguage)</f>
        <v>#NAME?</v>
      </c>
      <c r="B148" s="274"/>
      <c r="C148" s="274"/>
      <c r="D148" s="274"/>
      <c r="E148" s="274"/>
      <c r="F148" s="274"/>
      <c r="G148" s="274"/>
      <c r="H148" s="274"/>
      <c r="I148" s="274"/>
      <c r="J148" s="274"/>
      <c r="K148" s="274"/>
      <c r="L148" s="274"/>
      <c r="M148" s="274"/>
      <c r="N148" s="274"/>
      <c r="O148" s="274"/>
      <c r="P148" s="8"/>
    </row>
    <row r="149" spans="1:16" ht="4.5" customHeight="1" x14ac:dyDescent="0.35">
      <c r="A149" s="8"/>
      <c r="B149" s="8"/>
      <c r="C149" s="8"/>
      <c r="D149" s="8"/>
      <c r="E149" s="8"/>
      <c r="F149" s="8"/>
      <c r="G149" s="8"/>
      <c r="H149" s="8"/>
      <c r="I149" s="8"/>
      <c r="J149" s="8"/>
      <c r="K149" s="8"/>
      <c r="L149" s="8"/>
      <c r="M149" s="8"/>
      <c r="N149" s="8"/>
      <c r="O149" s="8"/>
      <c r="P149" s="8"/>
    </row>
    <row r="150" spans="1:16" ht="20.149999999999999" customHeight="1" x14ac:dyDescent="0.35">
      <c r="A150" s="8"/>
      <c r="B150" s="254" t="e">
        <f ca="1">translate("InterimYearEnd", CurrentLanguage)</f>
        <v>#NAME?</v>
      </c>
      <c r="C150" s="254"/>
      <c r="D150" s="254"/>
      <c r="E150" s="254"/>
      <c r="F150" s="254"/>
      <c r="G150" s="89" t="s">
        <v>408</v>
      </c>
      <c r="H150" s="8"/>
      <c r="I150" s="8"/>
      <c r="J150" s="8"/>
      <c r="K150" s="8"/>
      <c r="L150" s="8"/>
      <c r="M150" s="8"/>
      <c r="N150" s="8"/>
      <c r="O150" s="8"/>
      <c r="P150" s="8"/>
    </row>
    <row r="151" spans="1:16" ht="20.149999999999999" customHeight="1" x14ac:dyDescent="0.35">
      <c r="A151" s="8"/>
      <c r="B151" s="254" t="e">
        <f ca="1">translate("PeriodTOCFrom", CurrentLanguage)</f>
        <v>#NAME?</v>
      </c>
      <c r="C151" s="254"/>
      <c r="D151" s="254"/>
      <c r="E151" s="254"/>
      <c r="F151" s="254"/>
      <c r="G151" s="94" t="s">
        <v>1315</v>
      </c>
      <c r="H151" s="8"/>
      <c r="I151" s="8"/>
      <c r="J151" s="8"/>
      <c r="K151" s="8"/>
      <c r="L151" s="8"/>
      <c r="M151" s="8"/>
      <c r="N151" s="8"/>
      <c r="O151" s="8"/>
      <c r="P151" s="8"/>
    </row>
    <row r="152" spans="1:16" ht="20.149999999999999" customHeight="1" x14ac:dyDescent="0.35">
      <c r="A152" s="8"/>
      <c r="B152" s="254" t="e">
        <f ca="1">translate("PeriodTOCTo", CurrentLanguage)</f>
        <v>#NAME?</v>
      </c>
      <c r="C152" s="254"/>
      <c r="D152" s="254"/>
      <c r="E152" s="254"/>
      <c r="F152" s="254"/>
      <c r="G152" s="94" t="s">
        <v>1317</v>
      </c>
      <c r="H152" s="8"/>
      <c r="I152" s="8"/>
      <c r="J152" s="8"/>
      <c r="K152" s="8"/>
      <c r="L152" s="8"/>
      <c r="M152" s="8"/>
      <c r="N152" s="8"/>
      <c r="O152" s="8"/>
      <c r="P152" s="8"/>
    </row>
    <row r="153" spans="1:16" ht="12.75" customHeight="1" x14ac:dyDescent="0.35">
      <c r="A153" s="8"/>
      <c r="B153" s="8"/>
      <c r="C153" s="8"/>
      <c r="D153" s="8"/>
      <c r="E153" s="8"/>
      <c r="F153" s="8"/>
      <c r="G153" s="8"/>
      <c r="H153" s="8"/>
      <c r="I153" s="8"/>
      <c r="J153" s="8"/>
      <c r="K153" s="8"/>
      <c r="L153" s="8"/>
      <c r="M153" s="8"/>
      <c r="N153" s="8"/>
      <c r="O153" s="8"/>
      <c r="P153" s="8"/>
    </row>
    <row r="154" spans="1:16" ht="18" customHeight="1" x14ac:dyDescent="0.35">
      <c r="A154" s="247" t="e">
        <f ca="1">translate("NatireOfTiming", CurrentLanguage)</f>
        <v>#NAME?</v>
      </c>
      <c r="B154" s="248"/>
      <c r="C154" s="248"/>
      <c r="D154" s="248"/>
      <c r="E154" s="248"/>
      <c r="F154" s="248"/>
      <c r="G154" s="248"/>
      <c r="H154" s="248"/>
      <c r="I154" s="248"/>
      <c r="J154" s="248"/>
      <c r="K154" s="248"/>
      <c r="L154" s="248"/>
      <c r="M154" s="248"/>
      <c r="N154" s="248"/>
      <c r="O154" s="249"/>
      <c r="P154" s="5"/>
    </row>
    <row r="155" spans="1:16" ht="101.25" customHeight="1" outlineLevel="1" x14ac:dyDescent="0.35">
      <c r="A155" s="161" t="e">
        <f ca="1">translate("Guidance", CurrentLanguage)</f>
        <v>#NAME?</v>
      </c>
      <c r="B155" s="161"/>
      <c r="C155" s="137" t="e">
        <f ca="1">translate("InpectionOfAuth", CurrentLanguage)</f>
        <v>#NAME?</v>
      </c>
      <c r="D155" s="137"/>
      <c r="E155" s="137"/>
      <c r="F155" s="137"/>
      <c r="G155" s="137"/>
      <c r="H155" s="137"/>
      <c r="I155" s="137"/>
      <c r="J155" s="137"/>
      <c r="K155" s="137"/>
      <c r="L155" s="137"/>
      <c r="M155" s="137"/>
      <c r="N155" s="137"/>
      <c r="O155" s="137"/>
      <c r="P155" s="8"/>
    </row>
    <row r="156" spans="1:16" ht="7.5" customHeight="1" x14ac:dyDescent="0.35">
      <c r="A156" s="8"/>
      <c r="B156" s="60"/>
      <c r="C156" s="61"/>
      <c r="D156" s="61"/>
      <c r="E156" s="61"/>
      <c r="F156" s="61"/>
      <c r="G156" s="61"/>
      <c r="H156" s="62"/>
      <c r="I156" s="62"/>
      <c r="J156" s="62"/>
      <c r="K156" s="62"/>
      <c r="L156" s="62"/>
      <c r="M156" s="28"/>
      <c r="N156" s="8"/>
      <c r="O156" s="8"/>
      <c r="P156" s="8"/>
    </row>
    <row r="157" spans="1:16" ht="20.149999999999999" customHeight="1" x14ac:dyDescent="0.35">
      <c r="A157" s="8"/>
      <c r="B157" s="244" t="e">
        <f ca="1">translate("SelectAll",CurrentLanguage)</f>
        <v>#NAME?</v>
      </c>
      <c r="C157" s="202" t="e">
        <f ca="1">translate("InspectionAuth", CurrentLanguage)</f>
        <v>#NAME?</v>
      </c>
      <c r="D157" s="203"/>
      <c r="E157" s="204"/>
      <c r="F157" s="1" t="s">
        <v>174</v>
      </c>
      <c r="G157" s="22"/>
      <c r="H157" s="22"/>
      <c r="I157" s="63"/>
      <c r="J157" s="63"/>
      <c r="K157" s="63"/>
      <c r="L157" s="8"/>
      <c r="M157" s="8"/>
      <c r="N157" s="8"/>
      <c r="O157" s="8"/>
      <c r="P157" s="8"/>
    </row>
    <row r="158" spans="1:16" ht="20.149999999999999" customHeight="1" x14ac:dyDescent="0.35">
      <c r="A158" s="8"/>
      <c r="B158" s="245"/>
      <c r="C158" s="202" t="e">
        <f ca="1">translate("InspectionConfig", CurrentLanguage)</f>
        <v>#NAME?</v>
      </c>
      <c r="D158" s="203"/>
      <c r="E158" s="204"/>
      <c r="F158" s="1" t="s">
        <v>174</v>
      </c>
      <c r="G158" s="22"/>
      <c r="H158" s="22"/>
      <c r="I158" s="63"/>
      <c r="J158" s="63"/>
      <c r="K158" s="63"/>
      <c r="L158" s="8"/>
      <c r="M158" s="8"/>
      <c r="N158" s="8"/>
      <c r="O158" s="8"/>
      <c r="P158" s="8"/>
    </row>
    <row r="159" spans="1:16" ht="20.149999999999999" customHeight="1" x14ac:dyDescent="0.35">
      <c r="A159" s="8"/>
      <c r="B159" s="246"/>
      <c r="C159" s="202" t="e">
        <f ca="1">translate("Reperformance", CurrentLanguage)</f>
        <v>#NAME?</v>
      </c>
      <c r="D159" s="203"/>
      <c r="E159" s="204"/>
      <c r="F159" s="1" t="s">
        <v>377</v>
      </c>
      <c r="G159" s="22"/>
      <c r="H159" s="22"/>
      <c r="I159" s="63"/>
      <c r="J159" s="63"/>
      <c r="K159" s="8"/>
      <c r="L159" s="8"/>
      <c r="M159" s="8"/>
      <c r="N159" s="8"/>
      <c r="O159" s="8"/>
      <c r="P159" s="8"/>
    </row>
    <row r="160" spans="1:16" ht="8.25" customHeight="1" x14ac:dyDescent="0.35">
      <c r="A160" s="8"/>
      <c r="B160" s="5"/>
      <c r="C160" s="5"/>
      <c r="D160" s="5"/>
      <c r="E160" s="5"/>
      <c r="F160" s="5"/>
      <c r="G160" s="5"/>
      <c r="H160" s="5"/>
      <c r="I160" s="5"/>
      <c r="J160" s="5"/>
      <c r="K160" s="5"/>
      <c r="L160" s="5"/>
      <c r="M160" s="5"/>
      <c r="N160" s="8"/>
      <c r="O160" s="8"/>
      <c r="P160" s="8"/>
    </row>
    <row r="161" spans="1:16" ht="20.149999999999999" customHeight="1" x14ac:dyDescent="0.35">
      <c r="A161" s="8"/>
      <c r="B161" s="254" t="e">
        <f ca="1">translate("DateOfTesting", CurrentLanguage)</f>
        <v>#NAME?</v>
      </c>
      <c r="C161" s="254"/>
      <c r="D161" s="254"/>
      <c r="E161" s="90" t="s">
        <v>1318</v>
      </c>
      <c r="F161" s="8"/>
      <c r="G161" s="202" t="e">
        <f ca="1">translate("TestingEnvir", CurrentLanguage)</f>
        <v>#NAME?</v>
      </c>
      <c r="H161" s="203"/>
      <c r="I161" s="203"/>
      <c r="J161" s="204"/>
      <c r="K161" s="215" t="s">
        <v>410</v>
      </c>
      <c r="L161" s="216"/>
      <c r="M161" s="217"/>
      <c r="N161" s="8"/>
      <c r="O161" s="8"/>
      <c r="P161" s="8"/>
    </row>
    <row r="162" spans="1:16" ht="6" customHeight="1" x14ac:dyDescent="0.35">
      <c r="A162" s="22"/>
      <c r="B162" s="22"/>
      <c r="C162" s="22"/>
      <c r="D162" s="22"/>
      <c r="E162" s="22"/>
      <c r="F162" s="22"/>
      <c r="G162" s="22"/>
      <c r="H162" s="22"/>
      <c r="I162" s="22"/>
      <c r="J162" s="22"/>
      <c r="K162" s="22"/>
      <c r="L162" s="22"/>
      <c r="M162" s="22"/>
      <c r="N162" s="22"/>
      <c r="O162" s="22"/>
      <c r="P162" s="22"/>
    </row>
    <row r="163" spans="1:16" ht="56.25" customHeight="1" x14ac:dyDescent="0.35">
      <c r="A163" s="8"/>
      <c r="B163" s="202" t="e">
        <f ca="1">translate("TestingPerformed", CurrentLanguage)</f>
        <v>#NAME?</v>
      </c>
      <c r="C163" s="203"/>
      <c r="D163" s="203"/>
      <c r="E163" s="204"/>
      <c r="F163" s="214" t="s">
        <v>1319</v>
      </c>
      <c r="G163" s="214"/>
      <c r="H163" s="214"/>
      <c r="I163" s="214"/>
      <c r="J163" s="214"/>
      <c r="K163" s="214"/>
      <c r="L163" s="214"/>
      <c r="M163" s="214"/>
      <c r="N163" s="214"/>
      <c r="O163" s="214"/>
      <c r="P163" s="8"/>
    </row>
    <row r="164" spans="1:16" ht="12.75" customHeight="1" x14ac:dyDescent="0.35">
      <c r="A164" s="8"/>
      <c r="B164" s="5"/>
      <c r="C164" s="5"/>
      <c r="D164" s="5"/>
      <c r="E164" s="5"/>
      <c r="F164" s="5"/>
      <c r="G164" s="5"/>
      <c r="H164" s="5"/>
      <c r="I164" s="5"/>
      <c r="J164" s="5"/>
      <c r="K164" s="5"/>
      <c r="L164" s="5"/>
      <c r="M164" s="5"/>
      <c r="N164" s="8"/>
      <c r="O164" s="8"/>
      <c r="P164" s="8"/>
    </row>
    <row r="165" spans="1:16" ht="20.149999999999999" hidden="1" customHeight="1" x14ac:dyDescent="0.35">
      <c r="A165" s="247" t="e">
        <f ca="1">translate("ExtentTOC", CurrentLanguage)</f>
        <v>#NAME?</v>
      </c>
      <c r="B165" s="248"/>
      <c r="C165" s="248"/>
      <c r="D165" s="248"/>
      <c r="E165" s="248"/>
      <c r="F165" s="248"/>
      <c r="G165" s="248"/>
      <c r="H165" s="248"/>
      <c r="I165" s="248"/>
      <c r="J165" s="248"/>
      <c r="K165" s="248"/>
      <c r="L165" s="248"/>
      <c r="M165" s="248"/>
      <c r="N165" s="248"/>
      <c r="O165" s="249"/>
      <c r="P165" s="8"/>
    </row>
    <row r="166" spans="1:16" ht="140.25" hidden="1" customHeight="1" outlineLevel="1" x14ac:dyDescent="0.35">
      <c r="A166" s="213" t="e">
        <f ca="1">translate("Guidance", CurrentLanguage)</f>
        <v>#NAME?</v>
      </c>
      <c r="B166" s="213"/>
      <c r="C166" s="221" t="e">
        <f ca="1">translate("SampleSizeNote", CurrentLanguage)</f>
        <v>#NAME?</v>
      </c>
      <c r="D166" s="222"/>
      <c r="E166" s="222"/>
      <c r="F166" s="222"/>
      <c r="G166" s="222"/>
      <c r="H166" s="222"/>
      <c r="I166" s="222"/>
      <c r="J166" s="222"/>
      <c r="K166" s="222"/>
      <c r="L166" s="222"/>
      <c r="M166" s="222"/>
      <c r="N166" s="222"/>
      <c r="O166" s="223"/>
      <c r="P166" s="8"/>
    </row>
    <row r="167" spans="1:16" ht="20.149999999999999" customHeight="1" x14ac:dyDescent="0.35">
      <c r="A167" s="247" t="e">
        <f ca="1">translate("ExtentTOC", CurrentLanguage)</f>
        <v>#NAME?</v>
      </c>
      <c r="B167" s="248"/>
      <c r="C167" s="248"/>
      <c r="D167" s="248"/>
      <c r="E167" s="248"/>
      <c r="F167" s="248"/>
      <c r="G167" s="248"/>
      <c r="H167" s="248"/>
      <c r="I167" s="248"/>
      <c r="J167" s="248"/>
      <c r="K167" s="248"/>
      <c r="L167" s="248"/>
      <c r="M167" s="248"/>
      <c r="N167" s="248"/>
      <c r="O167" s="249"/>
      <c r="P167" s="8"/>
    </row>
    <row r="168" spans="1:16" ht="140.25" customHeight="1" outlineLevel="1" x14ac:dyDescent="0.35">
      <c r="A168" s="213" t="e">
        <f ca="1">translate("Guidance", CurrentLanguage)</f>
        <v>#NAME?</v>
      </c>
      <c r="B168" s="213"/>
      <c r="C168" s="221" t="e">
        <f ca="1">translate("ITDMExtentNote", CurrentLanguage)</f>
        <v>#NAME?</v>
      </c>
      <c r="D168" s="222"/>
      <c r="E168" s="222"/>
      <c r="F168" s="222"/>
      <c r="G168" s="222"/>
      <c r="H168" s="222"/>
      <c r="I168" s="222"/>
      <c r="J168" s="222"/>
      <c r="K168" s="222"/>
      <c r="L168" s="222"/>
      <c r="M168" s="222"/>
      <c r="N168" s="222"/>
      <c r="O168" s="223"/>
      <c r="P168" s="8"/>
    </row>
    <row r="169" spans="1:16" ht="20.149999999999999" hidden="1" customHeight="1" x14ac:dyDescent="0.35">
      <c r="A169" s="247" t="e">
        <f ca="1">translate("ExtentTOC", CurrentLanguage)</f>
        <v>#NAME?</v>
      </c>
      <c r="B169" s="248"/>
      <c r="C169" s="248"/>
      <c r="D169" s="248"/>
      <c r="E169" s="248"/>
      <c r="F169" s="248"/>
      <c r="G169" s="248"/>
      <c r="H169" s="248"/>
      <c r="I169" s="248"/>
      <c r="J169" s="248"/>
      <c r="K169" s="248"/>
      <c r="L169" s="248"/>
      <c r="M169" s="248"/>
      <c r="N169" s="248"/>
      <c r="O169" s="249"/>
      <c r="P169" s="8"/>
    </row>
    <row r="170" spans="1:16" ht="162.75" hidden="1" customHeight="1" outlineLevel="1" x14ac:dyDescent="0.35">
      <c r="A170" s="161" t="e">
        <f ca="1">translate("Guidance", CurrentLanguage)</f>
        <v>#NAME?</v>
      </c>
      <c r="B170" s="161"/>
      <c r="C170" s="209" t="e">
        <f ca="1">translate("SupportAppNote", CurrentLanguage)</f>
        <v>#NAME?</v>
      </c>
      <c r="D170" s="210"/>
      <c r="E170" s="210"/>
      <c r="F170" s="210"/>
      <c r="G170" s="210"/>
      <c r="H170" s="210"/>
      <c r="I170" s="210"/>
      <c r="J170" s="210"/>
      <c r="K170" s="210"/>
      <c r="L170" s="210"/>
      <c r="M170" s="210"/>
      <c r="N170" s="210"/>
      <c r="O170" s="211"/>
      <c r="P170" s="64"/>
    </row>
    <row r="171" spans="1:16" ht="6.75" customHeight="1" x14ac:dyDescent="0.35">
      <c r="A171" s="8"/>
      <c r="B171" s="8"/>
      <c r="C171" s="8"/>
      <c r="D171" s="8"/>
      <c r="E171" s="8"/>
      <c r="F171" s="8"/>
      <c r="G171" s="8"/>
      <c r="H171" s="8"/>
      <c r="I171" s="8"/>
      <c r="J171" s="8"/>
      <c r="K171" s="8"/>
      <c r="L171" s="8"/>
      <c r="M171" s="8"/>
      <c r="N171" s="8"/>
      <c r="O171" s="8"/>
      <c r="P171" s="8"/>
    </row>
    <row r="172" spans="1:16" ht="20.149999999999999" customHeight="1" x14ac:dyDescent="0.35">
      <c r="A172" s="8"/>
      <c r="B172" s="170" t="e">
        <f ca="1">translate("SampleSize2", CurrentLanguage)</f>
        <v>#NAME?</v>
      </c>
      <c r="C172" s="171"/>
      <c r="D172" s="172"/>
      <c r="E172" s="317" t="s">
        <v>1320</v>
      </c>
      <c r="F172" s="318"/>
      <c r="G172" s="318"/>
      <c r="H172" s="318"/>
      <c r="I172" s="318"/>
      <c r="J172" s="318"/>
      <c r="K172" s="318"/>
      <c r="L172" s="318"/>
      <c r="M172" s="318"/>
      <c r="N172" s="318"/>
      <c r="O172" s="318"/>
      <c r="P172" s="8"/>
    </row>
    <row r="173" spans="1:16" ht="57" customHeight="1" x14ac:dyDescent="0.35">
      <c r="A173" s="8"/>
      <c r="B173" s="170" t="e">
        <f ca="1">translate("DescPopTesting", CurrentLanguage)</f>
        <v>#NAME?</v>
      </c>
      <c r="C173" s="171"/>
      <c r="D173" s="172"/>
      <c r="E173" s="224" t="s">
        <v>1402</v>
      </c>
      <c r="F173" s="225"/>
      <c r="G173" s="225"/>
      <c r="H173" s="225"/>
      <c r="I173" s="225"/>
      <c r="J173" s="225"/>
      <c r="K173" s="225"/>
      <c r="L173" s="225"/>
      <c r="M173" s="225"/>
      <c r="N173" s="225"/>
      <c r="O173" s="226"/>
      <c r="P173" s="8"/>
    </row>
    <row r="174" spans="1:16" ht="7.5" customHeight="1" x14ac:dyDescent="0.35">
      <c r="A174" s="8"/>
      <c r="B174" s="8"/>
      <c r="C174" s="8"/>
      <c r="D174" s="8"/>
      <c r="E174" s="8"/>
      <c r="F174" s="8"/>
      <c r="G174" s="8"/>
      <c r="H174" s="8"/>
      <c r="I174" s="8"/>
      <c r="J174" s="8"/>
      <c r="K174" s="8"/>
      <c r="L174" s="8"/>
      <c r="M174" s="8"/>
      <c r="N174" s="8"/>
      <c r="O174" s="8"/>
      <c r="P174" s="8"/>
    </row>
    <row r="175" spans="1:16" ht="20.149999999999999" customHeight="1" x14ac:dyDescent="0.35">
      <c r="A175" s="230" t="e">
        <f ca="1">translate("TestingProcs", CurrentLanguage)</f>
        <v>#NAME?</v>
      </c>
      <c r="B175" s="231"/>
      <c r="C175" s="231"/>
      <c r="D175" s="231"/>
      <c r="E175" s="231"/>
      <c r="F175" s="231"/>
      <c r="G175" s="231"/>
      <c r="H175" s="231"/>
      <c r="I175" s="231"/>
      <c r="J175" s="231"/>
      <c r="K175" s="231"/>
      <c r="L175" s="231"/>
      <c r="M175" s="231"/>
      <c r="N175" s="231"/>
      <c r="O175" s="231"/>
      <c r="P175" s="8"/>
    </row>
    <row r="176" spans="1:16" ht="9" customHeight="1" x14ac:dyDescent="0.35">
      <c r="A176" s="37"/>
      <c r="B176" s="37"/>
      <c r="C176" s="37"/>
      <c r="D176" s="37"/>
      <c r="E176" s="37"/>
      <c r="F176" s="37"/>
      <c r="G176" s="37"/>
      <c r="H176" s="37"/>
      <c r="I176" s="37"/>
      <c r="J176" s="37"/>
      <c r="K176" s="37"/>
      <c r="L176" s="37"/>
      <c r="M176" s="37"/>
      <c r="N176" s="22"/>
      <c r="O176" s="22"/>
      <c r="P176" s="22"/>
    </row>
    <row r="177" spans="1:16" ht="20.149999999999999" customHeight="1" x14ac:dyDescent="0.35">
      <c r="A177" s="39"/>
      <c r="B177" s="8"/>
      <c r="C177" s="303" t="e">
        <f ca="1">translate("DesignAttrib", CurrentLanguage)</f>
        <v>#NAME?</v>
      </c>
      <c r="D177" s="304"/>
      <c r="E177" s="304"/>
      <c r="F177" s="305"/>
      <c r="G177" s="174" t="e">
        <f ca="1">translate("TOCProcsPerform", CurrentLanguage)</f>
        <v>#NAME?</v>
      </c>
      <c r="H177" s="175"/>
      <c r="I177" s="175"/>
      <c r="J177" s="175"/>
      <c r="K177" s="175"/>
      <c r="L177" s="175"/>
      <c r="M177" s="175"/>
      <c r="N177" s="175"/>
      <c r="O177" s="176"/>
      <c r="P177" s="8"/>
    </row>
    <row r="178" spans="1:16" ht="111" customHeight="1" x14ac:dyDescent="0.35">
      <c r="A178" s="101" t="s">
        <v>11</v>
      </c>
      <c r="B178" s="40" t="s">
        <v>14</v>
      </c>
      <c r="C178" s="177" t="s">
        <v>1401</v>
      </c>
      <c r="D178" s="178"/>
      <c r="E178" s="178"/>
      <c r="F178" s="179"/>
      <c r="G178" s="177" t="s">
        <v>1405</v>
      </c>
      <c r="H178" s="178"/>
      <c r="I178" s="178"/>
      <c r="J178" s="178"/>
      <c r="K178" s="178"/>
      <c r="L178" s="178"/>
      <c r="M178" s="178"/>
      <c r="N178" s="178"/>
      <c r="O178" s="179"/>
      <c r="P178" s="8"/>
    </row>
    <row r="179" spans="1:16" ht="63" customHeight="1" x14ac:dyDescent="0.35">
      <c r="A179" s="101" t="s">
        <v>11</v>
      </c>
      <c r="B179" s="40" t="s">
        <v>15</v>
      </c>
      <c r="C179" s="177" t="s">
        <v>1321</v>
      </c>
      <c r="D179" s="178"/>
      <c r="E179" s="178"/>
      <c r="F179" s="179"/>
      <c r="G179" s="177" t="s">
        <v>1347</v>
      </c>
      <c r="H179" s="178"/>
      <c r="I179" s="178"/>
      <c r="J179" s="178"/>
      <c r="K179" s="178"/>
      <c r="L179" s="178"/>
      <c r="M179" s="178"/>
      <c r="N179" s="178"/>
      <c r="O179" s="179"/>
      <c r="P179" s="8"/>
    </row>
    <row r="180" spans="1:16" ht="62.25" customHeight="1" x14ac:dyDescent="0.35">
      <c r="A180" s="101" t="s">
        <v>11</v>
      </c>
      <c r="B180" s="40" t="s">
        <v>16</v>
      </c>
      <c r="C180" s="177" t="s">
        <v>1351</v>
      </c>
      <c r="D180" s="178"/>
      <c r="E180" s="178"/>
      <c r="F180" s="179"/>
      <c r="G180" s="177" t="s">
        <v>1406</v>
      </c>
      <c r="H180" s="178"/>
      <c r="I180" s="178"/>
      <c r="J180" s="178"/>
      <c r="K180" s="178"/>
      <c r="L180" s="178"/>
      <c r="M180" s="178"/>
      <c r="N180" s="178"/>
      <c r="O180" s="179"/>
      <c r="P180" s="8"/>
    </row>
    <row r="181" spans="1:16" ht="36.75" customHeight="1" x14ac:dyDescent="0.35">
      <c r="A181" s="101" t="s">
        <v>12</v>
      </c>
      <c r="B181" s="40" t="s">
        <v>17</v>
      </c>
      <c r="C181" s="177" t="s">
        <v>1322</v>
      </c>
      <c r="D181" s="178"/>
      <c r="E181" s="178"/>
      <c r="F181" s="179"/>
      <c r="G181" s="177" t="s">
        <v>1348</v>
      </c>
      <c r="H181" s="178"/>
      <c r="I181" s="178"/>
      <c r="J181" s="178"/>
      <c r="K181" s="178"/>
      <c r="L181" s="178"/>
      <c r="M181" s="178"/>
      <c r="N181" s="178"/>
      <c r="O181" s="179"/>
      <c r="P181" s="8"/>
    </row>
    <row r="182" spans="1:16" ht="12.75" customHeight="1" x14ac:dyDescent="0.35">
      <c r="A182" s="99"/>
      <c r="B182" s="65" t="e">
        <f ca="1">translate("AddRowsAsNec", CurrentLanguage)</f>
        <v>#NAME?</v>
      </c>
      <c r="C182" s="41"/>
      <c r="D182" s="41"/>
      <c r="E182" s="41"/>
      <c r="F182" s="41"/>
      <c r="G182" s="41"/>
      <c r="H182" s="41"/>
      <c r="I182" s="41"/>
      <c r="J182" s="41"/>
      <c r="K182" s="41"/>
      <c r="L182" s="41"/>
      <c r="M182" s="8"/>
      <c r="N182" s="8"/>
      <c r="O182" s="8"/>
      <c r="P182" s="8"/>
    </row>
    <row r="183" spans="1:16" s="105" customFormat="1" ht="15" customHeight="1" x14ac:dyDescent="0.35">
      <c r="A183" s="46"/>
      <c r="B183" s="8"/>
      <c r="C183" s="43"/>
      <c r="D183" s="43"/>
      <c r="E183" s="43"/>
      <c r="F183" s="8"/>
      <c r="G183" s="8"/>
      <c r="H183" s="44" t="e">
        <f ca="1">translate("ResultsOfPRoc", CurrentLanguage)</f>
        <v>#NAME?</v>
      </c>
      <c r="I183" s="45"/>
      <c r="J183" s="45"/>
      <c r="K183" s="45"/>
    </row>
    <row r="184" spans="1:16" s="106" customFormat="1" ht="15" customHeight="1" x14ac:dyDescent="0.35">
      <c r="A184" s="46"/>
      <c r="B184" s="8"/>
      <c r="C184" s="43"/>
      <c r="D184" s="43"/>
      <c r="E184" s="43"/>
      <c r="F184" s="12"/>
      <c r="G184" s="48"/>
      <c r="H184" s="108" t="s">
        <v>11</v>
      </c>
      <c r="I184" s="108" t="s">
        <v>11</v>
      </c>
      <c r="J184" s="108" t="s">
        <v>11</v>
      </c>
      <c r="K184" s="108" t="s">
        <v>12</v>
      </c>
    </row>
    <row r="185" spans="1:16" s="105" customFormat="1" ht="27" customHeight="1" x14ac:dyDescent="0.35">
      <c r="A185" s="46"/>
      <c r="B185" s="49" t="e">
        <f ca="1">translate("SampleItem", CurrentLanguage)</f>
        <v>#NAME?</v>
      </c>
      <c r="C185" s="278" t="e">
        <f ca="1">translate("DescSample", CurrentLanguage)</f>
        <v>#NAME?</v>
      </c>
      <c r="D185" s="279"/>
      <c r="E185" s="280"/>
      <c r="F185" s="50" t="e">
        <f ca="1">translate("DatePeriod", CurrentLanguage)</f>
        <v>#NAME?</v>
      </c>
      <c r="G185" s="50" t="e">
        <f ca="1">translate("WPREf2", CurrentLanguage)</f>
        <v>#NAME?</v>
      </c>
      <c r="H185" s="66" t="s">
        <v>14</v>
      </c>
      <c r="I185" s="66" t="s">
        <v>15</v>
      </c>
      <c r="J185" s="66" t="s">
        <v>16</v>
      </c>
      <c r="K185" s="66" t="s">
        <v>17</v>
      </c>
    </row>
    <row r="186" spans="1:16" s="105" customFormat="1" ht="20.149999999999999" customHeight="1" x14ac:dyDescent="0.35">
      <c r="A186" s="102" t="s">
        <v>11</v>
      </c>
      <c r="B186" s="52">
        <v>1</v>
      </c>
      <c r="C186" s="177" t="s">
        <v>1379</v>
      </c>
      <c r="D186" s="178"/>
      <c r="E186" s="179"/>
      <c r="F186" s="83" t="s">
        <v>1326</v>
      </c>
      <c r="G186" s="136" t="s">
        <v>1352</v>
      </c>
      <c r="H186" s="135" t="s">
        <v>18</v>
      </c>
      <c r="I186" s="135" t="s">
        <v>18</v>
      </c>
      <c r="J186" s="135" t="s">
        <v>1349</v>
      </c>
      <c r="K186" s="135" t="s">
        <v>18</v>
      </c>
    </row>
    <row r="187" spans="1:16" s="105" customFormat="1" ht="20.149999999999999" customHeight="1" x14ac:dyDescent="0.35">
      <c r="A187" s="102" t="s">
        <v>11</v>
      </c>
      <c r="B187" s="52">
        <v>2</v>
      </c>
      <c r="C187" s="177" t="s">
        <v>1380</v>
      </c>
      <c r="D187" s="178"/>
      <c r="E187" s="179"/>
      <c r="F187" s="83" t="s">
        <v>1327</v>
      </c>
      <c r="G187" s="136" t="s">
        <v>1353</v>
      </c>
      <c r="H187" s="135" t="s">
        <v>18</v>
      </c>
      <c r="I187" s="135" t="s">
        <v>18</v>
      </c>
      <c r="J187" s="135" t="s">
        <v>1349</v>
      </c>
      <c r="K187" s="135" t="s">
        <v>18</v>
      </c>
    </row>
    <row r="188" spans="1:16" s="105" customFormat="1" ht="20.149999999999999" customHeight="1" x14ac:dyDescent="0.35">
      <c r="A188" s="102" t="s">
        <v>11</v>
      </c>
      <c r="B188" s="52">
        <v>3</v>
      </c>
      <c r="C188" s="177" t="s">
        <v>1381</v>
      </c>
      <c r="D188" s="178"/>
      <c r="E188" s="179"/>
      <c r="F188" s="83" t="s">
        <v>1328</v>
      </c>
      <c r="G188" s="136" t="s">
        <v>1354</v>
      </c>
      <c r="H188" s="135" t="s">
        <v>18</v>
      </c>
      <c r="I188" s="135" t="s">
        <v>18</v>
      </c>
      <c r="J188" s="135" t="s">
        <v>1349</v>
      </c>
      <c r="K188" s="135" t="s">
        <v>18</v>
      </c>
    </row>
    <row r="189" spans="1:16" s="105" customFormat="1" ht="20.149999999999999" customHeight="1" x14ac:dyDescent="0.35">
      <c r="A189" s="102" t="s">
        <v>11</v>
      </c>
      <c r="B189" s="98">
        <v>4</v>
      </c>
      <c r="C189" s="177" t="s">
        <v>1382</v>
      </c>
      <c r="D189" s="178"/>
      <c r="E189" s="179"/>
      <c r="F189" s="83" t="s">
        <v>1329</v>
      </c>
      <c r="G189" s="136" t="s">
        <v>1355</v>
      </c>
      <c r="H189" s="135" t="s">
        <v>18</v>
      </c>
      <c r="I189" s="135" t="s">
        <v>18</v>
      </c>
      <c r="J189" s="135" t="s">
        <v>1349</v>
      </c>
      <c r="K189" s="135" t="s">
        <v>18</v>
      </c>
    </row>
    <row r="190" spans="1:16" s="105" customFormat="1" ht="20.149999999999999" customHeight="1" x14ac:dyDescent="0.35">
      <c r="A190" s="126" t="s">
        <v>11</v>
      </c>
      <c r="B190" s="125">
        <v>5</v>
      </c>
      <c r="C190" s="177" t="s">
        <v>1383</v>
      </c>
      <c r="D190" s="178"/>
      <c r="E190" s="179"/>
      <c r="F190" s="83" t="s">
        <v>1330</v>
      </c>
      <c r="G190" s="136" t="s">
        <v>1356</v>
      </c>
      <c r="H190" s="135" t="s">
        <v>18</v>
      </c>
      <c r="I190" s="135" t="s">
        <v>18</v>
      </c>
      <c r="J190" s="135" t="s">
        <v>1349</v>
      </c>
      <c r="K190" s="135" t="s">
        <v>18</v>
      </c>
    </row>
    <row r="191" spans="1:16" s="105" customFormat="1" ht="20.149999999999999" customHeight="1" x14ac:dyDescent="0.35">
      <c r="A191" s="126" t="s">
        <v>11</v>
      </c>
      <c r="B191" s="125">
        <v>6</v>
      </c>
      <c r="C191" s="177" t="s">
        <v>1384</v>
      </c>
      <c r="D191" s="178"/>
      <c r="E191" s="179"/>
      <c r="F191" s="83" t="s">
        <v>1331</v>
      </c>
      <c r="G191" s="136" t="s">
        <v>1357</v>
      </c>
      <c r="H191" s="135" t="s">
        <v>18</v>
      </c>
      <c r="I191" s="135" t="s">
        <v>18</v>
      </c>
      <c r="J191" s="135" t="s">
        <v>1349</v>
      </c>
      <c r="K191" s="135" t="s">
        <v>18</v>
      </c>
    </row>
    <row r="192" spans="1:16" s="105" customFormat="1" ht="20.149999999999999" customHeight="1" x14ac:dyDescent="0.35">
      <c r="A192" s="126" t="s">
        <v>11</v>
      </c>
      <c r="B192" s="125">
        <v>7</v>
      </c>
      <c r="C192" s="177" t="s">
        <v>1385</v>
      </c>
      <c r="D192" s="178"/>
      <c r="E192" s="179"/>
      <c r="F192" s="83" t="s">
        <v>1332</v>
      </c>
      <c r="G192" s="136" t="s">
        <v>1358</v>
      </c>
      <c r="H192" s="135" t="s">
        <v>18</v>
      </c>
      <c r="I192" s="135" t="s">
        <v>18</v>
      </c>
      <c r="J192" s="135" t="s">
        <v>1349</v>
      </c>
      <c r="K192" s="135" t="s">
        <v>18</v>
      </c>
    </row>
    <row r="193" spans="1:11" s="105" customFormat="1" ht="20.149999999999999" customHeight="1" x14ac:dyDescent="0.35">
      <c r="A193" s="126" t="s">
        <v>11</v>
      </c>
      <c r="B193" s="125">
        <v>8</v>
      </c>
      <c r="C193" s="177" t="s">
        <v>1386</v>
      </c>
      <c r="D193" s="178"/>
      <c r="E193" s="179"/>
      <c r="F193" s="83" t="s">
        <v>1333</v>
      </c>
      <c r="G193" s="136" t="s">
        <v>1359</v>
      </c>
      <c r="H193" s="135" t="s">
        <v>18</v>
      </c>
      <c r="I193" s="135" t="s">
        <v>18</v>
      </c>
      <c r="J193" s="135" t="s">
        <v>1349</v>
      </c>
      <c r="K193" s="135" t="s">
        <v>18</v>
      </c>
    </row>
    <row r="194" spans="1:11" s="105" customFormat="1" ht="20.149999999999999" customHeight="1" x14ac:dyDescent="0.35">
      <c r="A194" s="126" t="s">
        <v>11</v>
      </c>
      <c r="B194" s="125">
        <v>9</v>
      </c>
      <c r="C194" s="177" t="s">
        <v>1387</v>
      </c>
      <c r="D194" s="178"/>
      <c r="E194" s="179"/>
      <c r="F194" s="83" t="s">
        <v>1334</v>
      </c>
      <c r="G194" s="136" t="s">
        <v>1360</v>
      </c>
      <c r="H194" s="135" t="s">
        <v>18</v>
      </c>
      <c r="I194" s="135" t="s">
        <v>18</v>
      </c>
      <c r="J194" s="135" t="s">
        <v>1349</v>
      </c>
      <c r="K194" s="135" t="s">
        <v>18</v>
      </c>
    </row>
    <row r="195" spans="1:11" s="105" customFormat="1" ht="20.149999999999999" customHeight="1" x14ac:dyDescent="0.35">
      <c r="A195" s="126" t="s">
        <v>11</v>
      </c>
      <c r="B195" s="125">
        <v>10</v>
      </c>
      <c r="C195" s="177" t="s">
        <v>1388</v>
      </c>
      <c r="D195" s="178"/>
      <c r="E195" s="179"/>
      <c r="F195" s="83" t="s">
        <v>1335</v>
      </c>
      <c r="G195" s="136" t="s">
        <v>1361</v>
      </c>
      <c r="H195" s="135" t="s">
        <v>18</v>
      </c>
      <c r="I195" s="135" t="s">
        <v>18</v>
      </c>
      <c r="J195" s="135" t="s">
        <v>1349</v>
      </c>
      <c r="K195" s="135" t="s">
        <v>18</v>
      </c>
    </row>
    <row r="196" spans="1:11" s="105" customFormat="1" ht="20.149999999999999" customHeight="1" x14ac:dyDescent="0.35">
      <c r="A196" s="126" t="s">
        <v>11</v>
      </c>
      <c r="B196" s="125">
        <v>11</v>
      </c>
      <c r="C196" s="177" t="s">
        <v>1389</v>
      </c>
      <c r="D196" s="178"/>
      <c r="E196" s="179"/>
      <c r="F196" s="83" t="s">
        <v>1336</v>
      </c>
      <c r="G196" s="136" t="s">
        <v>1362</v>
      </c>
      <c r="H196" s="135" t="s">
        <v>18</v>
      </c>
      <c r="I196" s="135" t="s">
        <v>18</v>
      </c>
      <c r="J196" s="135" t="s">
        <v>1349</v>
      </c>
      <c r="K196" s="135" t="s">
        <v>18</v>
      </c>
    </row>
    <row r="197" spans="1:11" s="105" customFormat="1" ht="20.149999999999999" customHeight="1" x14ac:dyDescent="0.35">
      <c r="A197" s="126" t="s">
        <v>11</v>
      </c>
      <c r="B197" s="125">
        <v>12</v>
      </c>
      <c r="C197" s="177" t="s">
        <v>1390</v>
      </c>
      <c r="D197" s="178"/>
      <c r="E197" s="179"/>
      <c r="F197" s="83" t="s">
        <v>1337</v>
      </c>
      <c r="G197" s="136" t="s">
        <v>1363</v>
      </c>
      <c r="H197" s="135" t="s">
        <v>18</v>
      </c>
      <c r="I197" s="135" t="s">
        <v>18</v>
      </c>
      <c r="J197" s="135" t="s">
        <v>1349</v>
      </c>
      <c r="K197" s="135" t="s">
        <v>18</v>
      </c>
    </row>
    <row r="198" spans="1:11" s="105" customFormat="1" ht="20.149999999999999" customHeight="1" x14ac:dyDescent="0.35">
      <c r="A198" s="126" t="s">
        <v>11</v>
      </c>
      <c r="B198" s="125">
        <v>13</v>
      </c>
      <c r="C198" s="177" t="s">
        <v>1391</v>
      </c>
      <c r="D198" s="178"/>
      <c r="E198" s="179"/>
      <c r="F198" s="83" t="s">
        <v>1330</v>
      </c>
      <c r="G198" s="136" t="s">
        <v>1364</v>
      </c>
      <c r="H198" s="135" t="s">
        <v>18</v>
      </c>
      <c r="I198" s="135" t="s">
        <v>18</v>
      </c>
      <c r="J198" s="135" t="s">
        <v>1349</v>
      </c>
      <c r="K198" s="135" t="s">
        <v>18</v>
      </c>
    </row>
    <row r="199" spans="1:11" s="105" customFormat="1" ht="20.149999999999999" customHeight="1" x14ac:dyDescent="0.35">
      <c r="A199" s="126" t="s">
        <v>11</v>
      </c>
      <c r="B199" s="125">
        <v>14</v>
      </c>
      <c r="C199" s="177" t="s">
        <v>1392</v>
      </c>
      <c r="D199" s="178"/>
      <c r="E199" s="179"/>
      <c r="F199" s="83" t="s">
        <v>1338</v>
      </c>
      <c r="G199" s="136" t="s">
        <v>1365</v>
      </c>
      <c r="H199" s="135" t="s">
        <v>18</v>
      </c>
      <c r="I199" s="135" t="s">
        <v>18</v>
      </c>
      <c r="J199" s="135" t="s">
        <v>1349</v>
      </c>
      <c r="K199" s="135" t="s">
        <v>18</v>
      </c>
    </row>
    <row r="200" spans="1:11" s="105" customFormat="1" ht="20.149999999999999" customHeight="1" x14ac:dyDescent="0.35">
      <c r="A200" s="126" t="s">
        <v>11</v>
      </c>
      <c r="B200" s="125">
        <v>15</v>
      </c>
      <c r="C200" s="177" t="s">
        <v>1393</v>
      </c>
      <c r="D200" s="178"/>
      <c r="E200" s="179"/>
      <c r="F200" s="83" t="s">
        <v>1339</v>
      </c>
      <c r="G200" s="136" t="s">
        <v>1366</v>
      </c>
      <c r="H200" s="135" t="s">
        <v>18</v>
      </c>
      <c r="I200" s="135" t="s">
        <v>18</v>
      </c>
      <c r="J200" s="135" t="s">
        <v>1349</v>
      </c>
      <c r="K200" s="135" t="s">
        <v>18</v>
      </c>
    </row>
    <row r="201" spans="1:11" s="105" customFormat="1" ht="20.149999999999999" customHeight="1" x14ac:dyDescent="0.35">
      <c r="A201" s="126" t="s">
        <v>11</v>
      </c>
      <c r="B201" s="125">
        <v>16</v>
      </c>
      <c r="C201" s="177" t="s">
        <v>1394</v>
      </c>
      <c r="D201" s="178"/>
      <c r="E201" s="179"/>
      <c r="F201" s="83" t="s">
        <v>1340</v>
      </c>
      <c r="G201" s="136" t="s">
        <v>1367</v>
      </c>
      <c r="H201" s="135" t="s">
        <v>18</v>
      </c>
      <c r="I201" s="135" t="s">
        <v>18</v>
      </c>
      <c r="J201" s="135" t="s">
        <v>1349</v>
      </c>
      <c r="K201" s="135" t="s">
        <v>18</v>
      </c>
    </row>
    <row r="202" spans="1:11" s="105" customFormat="1" ht="20.149999999999999" customHeight="1" x14ac:dyDescent="0.35">
      <c r="A202" s="126" t="s">
        <v>11</v>
      </c>
      <c r="B202" s="125">
        <v>17</v>
      </c>
      <c r="C202" s="177" t="s">
        <v>1395</v>
      </c>
      <c r="D202" s="178"/>
      <c r="E202" s="179"/>
      <c r="F202" s="83" t="s">
        <v>1341</v>
      </c>
      <c r="G202" s="136" t="s">
        <v>1368</v>
      </c>
      <c r="H202" s="135" t="s">
        <v>18</v>
      </c>
      <c r="I202" s="135" t="s">
        <v>18</v>
      </c>
      <c r="J202" s="135" t="s">
        <v>1349</v>
      </c>
      <c r="K202" s="135" t="s">
        <v>18</v>
      </c>
    </row>
    <row r="203" spans="1:11" s="105" customFormat="1" ht="20.149999999999999" customHeight="1" x14ac:dyDescent="0.35">
      <c r="A203" s="126" t="s">
        <v>11</v>
      </c>
      <c r="B203" s="125">
        <v>18</v>
      </c>
      <c r="C203" s="177" t="s">
        <v>1396</v>
      </c>
      <c r="D203" s="178"/>
      <c r="E203" s="179"/>
      <c r="F203" s="83" t="s">
        <v>1342</v>
      </c>
      <c r="G203" s="136" t="s">
        <v>1369</v>
      </c>
      <c r="H203" s="135" t="s">
        <v>18</v>
      </c>
      <c r="I203" s="135" t="s">
        <v>18</v>
      </c>
      <c r="J203" s="135" t="s">
        <v>1349</v>
      </c>
      <c r="K203" s="135" t="s">
        <v>18</v>
      </c>
    </row>
    <row r="204" spans="1:11" s="105" customFormat="1" ht="20.149999999999999" customHeight="1" x14ac:dyDescent="0.35">
      <c r="A204" s="126" t="s">
        <v>11</v>
      </c>
      <c r="B204" s="125">
        <v>19</v>
      </c>
      <c r="C204" s="177" t="s">
        <v>1397</v>
      </c>
      <c r="D204" s="178"/>
      <c r="E204" s="179"/>
      <c r="F204" s="83" t="s">
        <v>1343</v>
      </c>
      <c r="G204" s="136" t="s">
        <v>1370</v>
      </c>
      <c r="H204" s="135" t="s">
        <v>18</v>
      </c>
      <c r="I204" s="135" t="s">
        <v>18</v>
      </c>
      <c r="J204" s="135" t="s">
        <v>1349</v>
      </c>
      <c r="K204" s="135" t="s">
        <v>18</v>
      </c>
    </row>
    <row r="205" spans="1:11" s="105" customFormat="1" ht="20.149999999999999" customHeight="1" x14ac:dyDescent="0.35">
      <c r="A205" s="126" t="s">
        <v>11</v>
      </c>
      <c r="B205" s="125">
        <v>20</v>
      </c>
      <c r="C205" s="177" t="s">
        <v>1398</v>
      </c>
      <c r="D205" s="178"/>
      <c r="E205" s="179"/>
      <c r="F205" s="83" t="s">
        <v>1344</v>
      </c>
      <c r="G205" s="136" t="s">
        <v>1371</v>
      </c>
      <c r="H205" s="135" t="s">
        <v>18</v>
      </c>
      <c r="I205" s="135" t="s">
        <v>18</v>
      </c>
      <c r="J205" s="135" t="s">
        <v>1349</v>
      </c>
      <c r="K205" s="135" t="s">
        <v>18</v>
      </c>
    </row>
    <row r="206" spans="1:11" s="105" customFormat="1" ht="20.149999999999999" customHeight="1" x14ac:dyDescent="0.35">
      <c r="A206" s="126" t="s">
        <v>11</v>
      </c>
      <c r="B206" s="125">
        <v>21</v>
      </c>
      <c r="C206" s="177" t="s">
        <v>1399</v>
      </c>
      <c r="D206" s="178"/>
      <c r="E206" s="179"/>
      <c r="F206" s="83" t="s">
        <v>1342</v>
      </c>
      <c r="G206" s="136" t="s">
        <v>1372</v>
      </c>
      <c r="H206" s="135" t="s">
        <v>18</v>
      </c>
      <c r="I206" s="135" t="s">
        <v>18</v>
      </c>
      <c r="J206" s="135" t="s">
        <v>1349</v>
      </c>
      <c r="K206" s="135" t="s">
        <v>18</v>
      </c>
    </row>
    <row r="207" spans="1:11" s="105" customFormat="1" ht="20.149999999999999" customHeight="1" x14ac:dyDescent="0.35">
      <c r="A207" s="126" t="s">
        <v>11</v>
      </c>
      <c r="B207" s="125">
        <v>22</v>
      </c>
      <c r="C207" s="177" t="s">
        <v>1400</v>
      </c>
      <c r="D207" s="178"/>
      <c r="E207" s="179"/>
      <c r="F207" s="83" t="s">
        <v>1345</v>
      </c>
      <c r="G207" s="136" t="s">
        <v>1373</v>
      </c>
      <c r="H207" s="135" t="s">
        <v>18</v>
      </c>
      <c r="I207" s="135" t="s">
        <v>18</v>
      </c>
      <c r="J207" s="135" t="s">
        <v>1349</v>
      </c>
      <c r="K207" s="135" t="s">
        <v>18</v>
      </c>
    </row>
    <row r="208" spans="1:11" s="105" customFormat="1" ht="20.149999999999999" customHeight="1" x14ac:dyDescent="0.35">
      <c r="A208" s="126" t="s">
        <v>11</v>
      </c>
      <c r="B208" s="125">
        <v>23</v>
      </c>
      <c r="C208" s="177" t="s">
        <v>1378</v>
      </c>
      <c r="D208" s="178"/>
      <c r="E208" s="179"/>
      <c r="F208" s="83" t="s">
        <v>1323</v>
      </c>
      <c r="G208" s="84"/>
      <c r="H208" s="135"/>
      <c r="I208" s="135"/>
      <c r="J208" s="135"/>
      <c r="K208" s="135"/>
    </row>
    <row r="209" spans="1:16" s="105" customFormat="1" ht="20.149999999999999" customHeight="1" x14ac:dyDescent="0.35">
      <c r="A209" s="126" t="s">
        <v>11</v>
      </c>
      <c r="B209" s="125">
        <v>24</v>
      </c>
      <c r="C209" s="177" t="s">
        <v>1377</v>
      </c>
      <c r="D209" s="178"/>
      <c r="E209" s="179"/>
      <c r="F209" s="83" t="s">
        <v>1325</v>
      </c>
      <c r="G209" s="84"/>
      <c r="H209" s="135"/>
      <c r="I209" s="135"/>
      <c r="J209" s="135"/>
      <c r="K209" s="135"/>
    </row>
    <row r="210" spans="1:16" s="105" customFormat="1" ht="20.149999999999999" customHeight="1" x14ac:dyDescent="0.35">
      <c r="A210" s="126" t="s">
        <v>12</v>
      </c>
      <c r="B210" s="125">
        <v>25</v>
      </c>
      <c r="C210" s="177" t="s">
        <v>1376</v>
      </c>
      <c r="D210" s="178"/>
      <c r="E210" s="179"/>
      <c r="F210" s="83" t="s">
        <v>1324</v>
      </c>
      <c r="G210" s="84"/>
      <c r="H210" s="135"/>
      <c r="I210" s="135"/>
      <c r="J210" s="135"/>
      <c r="K210" s="135"/>
    </row>
    <row r="211" spans="1:16" ht="12.75" customHeight="1" x14ac:dyDescent="0.35">
      <c r="A211" s="109"/>
      <c r="B211" s="65" t="e">
        <f ca="1">translate("AddRowsAsNec", CurrentLanguage)</f>
        <v>#NAME?</v>
      </c>
      <c r="C211" s="53"/>
      <c r="D211" s="53"/>
      <c r="E211" s="53"/>
      <c r="F211" s="53"/>
      <c r="G211" s="53"/>
      <c r="H211" s="53"/>
      <c r="I211" s="8"/>
      <c r="J211" s="53"/>
      <c r="K211" s="8"/>
      <c r="L211" s="8"/>
      <c r="M211" s="8"/>
      <c r="N211" s="8"/>
      <c r="O211" s="8"/>
      <c r="P211" s="8"/>
    </row>
    <row r="212" spans="1:16" ht="9" customHeight="1" x14ac:dyDescent="0.35">
      <c r="A212" s="67"/>
      <c r="B212" s="68"/>
      <c r="C212" s="68"/>
      <c r="D212" s="69"/>
      <c r="E212" s="70"/>
      <c r="F212" s="67"/>
      <c r="G212" s="71"/>
      <c r="H212" s="71"/>
      <c r="I212" s="8"/>
      <c r="J212" s="8"/>
      <c r="K212" s="53"/>
      <c r="L212" s="53"/>
      <c r="M212" s="8"/>
      <c r="N212" s="8"/>
      <c r="O212" s="8"/>
      <c r="P212" s="8"/>
    </row>
    <row r="213" spans="1:16" ht="15" customHeight="1" x14ac:dyDescent="0.35">
      <c r="A213" s="41"/>
      <c r="B213" s="275" t="e">
        <f ca="1">translate("TickmarkKey", CurrentLanguage)</f>
        <v>#NAME?</v>
      </c>
      <c r="C213" s="276"/>
      <c r="D213" s="276"/>
      <c r="E213" s="276"/>
      <c r="F213" s="276"/>
      <c r="G213" s="276"/>
      <c r="H213" s="276"/>
      <c r="I213" s="276"/>
      <c r="J213" s="276"/>
      <c r="K213" s="276"/>
      <c r="L213" s="277"/>
      <c r="M213" s="8"/>
      <c r="N213" s="8"/>
      <c r="O213" s="8"/>
      <c r="P213" s="8"/>
    </row>
    <row r="214" spans="1:16" ht="113.25" customHeight="1" x14ac:dyDescent="0.35">
      <c r="A214" s="41"/>
      <c r="B214" s="72" t="s">
        <v>18</v>
      </c>
      <c r="C214" s="281"/>
      <c r="D214" s="282"/>
      <c r="E214" s="282"/>
      <c r="F214" s="282"/>
      <c r="G214" s="282"/>
      <c r="H214" s="282"/>
      <c r="I214" s="282"/>
      <c r="J214" s="282"/>
      <c r="K214" s="282"/>
      <c r="L214" s="283"/>
      <c r="M214" s="8"/>
      <c r="N214" s="8"/>
      <c r="O214" s="8"/>
      <c r="P214" s="8"/>
    </row>
    <row r="215" spans="1:16" ht="62.25" customHeight="1" x14ac:dyDescent="0.35">
      <c r="A215" s="41"/>
      <c r="B215" s="134" t="s">
        <v>1349</v>
      </c>
      <c r="C215" s="281" t="s">
        <v>1350</v>
      </c>
      <c r="D215" s="282"/>
      <c r="E215" s="282"/>
      <c r="F215" s="282"/>
      <c r="G215" s="282"/>
      <c r="H215" s="282"/>
      <c r="I215" s="282"/>
      <c r="J215" s="282"/>
      <c r="K215" s="282"/>
      <c r="L215" s="283"/>
      <c r="M215" s="8"/>
      <c r="N215" s="8"/>
      <c r="O215" s="8"/>
      <c r="P215" s="8"/>
    </row>
    <row r="216" spans="1:16" ht="12.75" customHeight="1" x14ac:dyDescent="0.35">
      <c r="A216" s="41"/>
      <c r="B216" s="65" t="e">
        <f ca="1">translate("AddRowsForTick", CurrentLanguage)</f>
        <v>#NAME?</v>
      </c>
      <c r="C216" s="73"/>
      <c r="D216" s="73"/>
      <c r="E216" s="73"/>
      <c r="F216" s="73"/>
      <c r="G216" s="73"/>
      <c r="H216" s="73"/>
      <c r="I216" s="73"/>
      <c r="J216" s="73"/>
      <c r="K216" s="73"/>
      <c r="L216" s="73"/>
      <c r="M216" s="8"/>
      <c r="N216" s="8"/>
      <c r="O216" s="8"/>
      <c r="P216" s="8"/>
    </row>
    <row r="217" spans="1:16" ht="7.5" customHeight="1" x14ac:dyDescent="0.35">
      <c r="A217" s="74"/>
      <c r="B217" s="74"/>
      <c r="C217" s="7"/>
      <c r="D217" s="7"/>
      <c r="E217" s="7"/>
      <c r="F217" s="7"/>
      <c r="G217" s="7"/>
      <c r="H217" s="7"/>
      <c r="I217" s="7"/>
      <c r="J217" s="7"/>
      <c r="K217" s="7"/>
      <c r="L217" s="7"/>
      <c r="M217" s="8"/>
      <c r="N217" s="8"/>
      <c r="O217" s="8"/>
      <c r="P217" s="8"/>
    </row>
    <row r="218" spans="1:16" ht="19.5" customHeight="1" x14ac:dyDescent="0.35">
      <c r="A218" s="247" t="e">
        <f ca="1">translate("AbilityToOverride", CurrentLanguage)</f>
        <v>#NAME?</v>
      </c>
      <c r="B218" s="248"/>
      <c r="C218" s="248"/>
      <c r="D218" s="248"/>
      <c r="E218" s="248"/>
      <c r="F218" s="248"/>
      <c r="G218" s="248"/>
      <c r="H218" s="248"/>
      <c r="I218" s="248"/>
      <c r="J218" s="248"/>
      <c r="K218" s="248"/>
      <c r="L218" s="248"/>
      <c r="M218" s="248"/>
      <c r="N218" s="248"/>
      <c r="O218" s="249"/>
      <c r="P218" s="28"/>
    </row>
    <row r="219" spans="1:16" ht="79.5" customHeight="1" outlineLevel="1" x14ac:dyDescent="0.35">
      <c r="A219" s="161" t="e">
        <f ca="1">translate("Guidance", CurrentLanguage)</f>
        <v>#NAME?</v>
      </c>
      <c r="B219" s="161"/>
      <c r="C219" s="137" t="e">
        <f ca="1">translate("ManuallyOverrideNote", CurrentLanguage)</f>
        <v>#NAME?</v>
      </c>
      <c r="D219" s="137"/>
      <c r="E219" s="137"/>
      <c r="F219" s="137"/>
      <c r="G219" s="137"/>
      <c r="H219" s="137"/>
      <c r="I219" s="137"/>
      <c r="J219" s="137"/>
      <c r="K219" s="137"/>
      <c r="L219" s="137"/>
      <c r="M219" s="137"/>
      <c r="N219" s="137"/>
      <c r="O219" s="137"/>
      <c r="P219" s="28"/>
    </row>
    <row r="220" spans="1:16" ht="7.5" customHeight="1" x14ac:dyDescent="0.35">
      <c r="A220" s="5"/>
      <c r="B220" s="75"/>
      <c r="C220" s="75"/>
      <c r="D220" s="75"/>
      <c r="E220" s="75"/>
      <c r="F220" s="75"/>
      <c r="G220" s="5"/>
      <c r="H220" s="5"/>
      <c r="I220" s="5"/>
      <c r="J220" s="5"/>
      <c r="K220" s="5"/>
      <c r="L220" s="5"/>
      <c r="M220" s="75"/>
      <c r="N220" s="75"/>
      <c r="O220" s="75"/>
      <c r="P220" s="28"/>
    </row>
    <row r="221" spans="1:16" ht="27" customHeight="1" x14ac:dyDescent="0.35">
      <c r="A221" s="5"/>
      <c r="B221" s="254" t="e">
        <f ca="1">translate("UserOverride", CurrentLanguage)</f>
        <v>#NAME?</v>
      </c>
      <c r="C221" s="254"/>
      <c r="D221" s="254"/>
      <c r="E221" s="254"/>
      <c r="F221" s="194" t="s">
        <v>174</v>
      </c>
      <c r="G221" s="196"/>
      <c r="H221" s="3"/>
      <c r="I221" s="3"/>
      <c r="J221" s="3"/>
      <c r="K221" s="3"/>
      <c r="L221" s="5"/>
      <c r="M221" s="75"/>
      <c r="N221" s="75"/>
      <c r="O221" s="75"/>
      <c r="P221" s="28"/>
    </row>
    <row r="222" spans="1:16" ht="32.25" hidden="1" customHeight="1" collapsed="1" x14ac:dyDescent="0.35">
      <c r="A222" s="5"/>
      <c r="B222" s="254" t="e">
        <f ca="1">translate("RefWP", CurrentLanguage)</f>
        <v>#NAME?</v>
      </c>
      <c r="C222" s="254"/>
      <c r="D222" s="254"/>
      <c r="E222" s="254"/>
      <c r="F222" s="205"/>
      <c r="G222" s="208"/>
      <c r="H222" s="208"/>
      <c r="I222" s="208"/>
      <c r="J222" s="208"/>
      <c r="K222" s="208"/>
      <c r="L222" s="208"/>
      <c r="M222" s="208"/>
      <c r="N222" s="208"/>
      <c r="O222" s="206"/>
      <c r="P222" s="18"/>
    </row>
    <row r="223" spans="1:16" ht="38.25" hidden="1" customHeight="1" x14ac:dyDescent="0.35">
      <c r="A223" s="5"/>
      <c r="B223" s="254" t="e">
        <f ca="1">translate("DescribeRoles", CurrentLanguage)</f>
        <v>#NAME?</v>
      </c>
      <c r="C223" s="254"/>
      <c r="D223" s="254"/>
      <c r="E223" s="254"/>
      <c r="F223" s="205"/>
      <c r="G223" s="208"/>
      <c r="H223" s="208"/>
      <c r="I223" s="208"/>
      <c r="J223" s="208"/>
      <c r="K223" s="208"/>
      <c r="L223" s="208"/>
      <c r="M223" s="208"/>
      <c r="N223" s="208"/>
      <c r="O223" s="206"/>
      <c r="P223" s="15"/>
    </row>
    <row r="224" spans="1:16" ht="6" hidden="1" customHeight="1" x14ac:dyDescent="0.35">
      <c r="A224" s="5"/>
      <c r="B224" s="75"/>
      <c r="C224" s="75"/>
      <c r="D224" s="75"/>
      <c r="E224" s="75"/>
      <c r="F224" s="75"/>
      <c r="G224" s="75"/>
      <c r="H224" s="75"/>
      <c r="I224" s="75"/>
      <c r="J224" s="75"/>
      <c r="K224" s="75"/>
      <c r="L224" s="75"/>
      <c r="M224" s="75"/>
      <c r="N224" s="75"/>
      <c r="O224" s="75"/>
      <c r="P224" s="75"/>
    </row>
    <row r="225" spans="1:16" ht="15.75" hidden="1" customHeight="1" x14ac:dyDescent="0.35">
      <c r="A225" s="5"/>
      <c r="B225" s="264" t="e">
        <f ca="1">translate("IdentifySupport", CurrentLanguage)</f>
        <v>#NAME?</v>
      </c>
      <c r="C225" s="265"/>
      <c r="D225" s="265"/>
      <c r="E225" s="266"/>
      <c r="F225" s="168" t="e">
        <f ca="1">translate("ReportName", CurrentLanguage)</f>
        <v>#NAME?</v>
      </c>
      <c r="G225" s="169"/>
      <c r="H225" s="168" t="e">
        <f ca="1">translate("System", CurrentLanguage)</f>
        <v>#NAME?</v>
      </c>
      <c r="I225" s="169"/>
      <c r="J225" s="168" t="e">
        <f ca="1">translate("Contents", CurrentLanguage)</f>
        <v>#NAME?</v>
      </c>
      <c r="K225" s="181"/>
      <c r="L225" s="181"/>
      <c r="M225" s="181"/>
      <c r="N225" s="181"/>
      <c r="O225" s="169"/>
      <c r="P225" s="96"/>
    </row>
    <row r="226" spans="1:16" ht="20.149999999999999" hidden="1" customHeight="1" x14ac:dyDescent="0.35">
      <c r="A226" s="5"/>
      <c r="B226" s="267"/>
      <c r="C226" s="268"/>
      <c r="D226" s="268"/>
      <c r="E226" s="269"/>
      <c r="F226" s="205"/>
      <c r="G226" s="206"/>
      <c r="H226" s="205"/>
      <c r="I226" s="206"/>
      <c r="J226" s="205"/>
      <c r="K226" s="208"/>
      <c r="L226" s="208"/>
      <c r="M226" s="208"/>
      <c r="N226" s="208"/>
      <c r="O226" s="206"/>
      <c r="P226" s="97"/>
    </row>
    <row r="227" spans="1:16" ht="20.149999999999999" hidden="1" customHeight="1" x14ac:dyDescent="0.35">
      <c r="A227" s="5"/>
      <c r="B227" s="267"/>
      <c r="C227" s="268"/>
      <c r="D227" s="268"/>
      <c r="E227" s="269"/>
      <c r="F227" s="205"/>
      <c r="G227" s="206"/>
      <c r="H227" s="205"/>
      <c r="I227" s="206"/>
      <c r="J227" s="205"/>
      <c r="K227" s="208"/>
      <c r="L227" s="208"/>
      <c r="M227" s="208"/>
      <c r="N227" s="208"/>
      <c r="O227" s="206"/>
      <c r="P227" s="97"/>
    </row>
    <row r="228" spans="1:16" ht="20.149999999999999" hidden="1" customHeight="1" x14ac:dyDescent="0.35">
      <c r="A228" s="5"/>
      <c r="B228" s="270"/>
      <c r="C228" s="271"/>
      <c r="D228" s="271"/>
      <c r="E228" s="272"/>
      <c r="F228" s="205"/>
      <c r="G228" s="206"/>
      <c r="H228" s="205"/>
      <c r="I228" s="206"/>
      <c r="J228" s="205"/>
      <c r="K228" s="208"/>
      <c r="L228" s="208"/>
      <c r="M228" s="208"/>
      <c r="N228" s="208"/>
      <c r="O228" s="206"/>
      <c r="P228" s="97"/>
    </row>
    <row r="229" spans="1:16" ht="4.5" hidden="1" customHeight="1" x14ac:dyDescent="0.35">
      <c r="A229" s="5"/>
      <c r="B229" s="75"/>
      <c r="C229" s="75"/>
      <c r="D229" s="75"/>
      <c r="E229" s="75"/>
      <c r="F229" s="75"/>
      <c r="G229" s="75"/>
      <c r="H229" s="75"/>
      <c r="I229" s="75"/>
      <c r="J229" s="75"/>
      <c r="K229" s="75"/>
      <c r="L229" s="75"/>
      <c r="M229" s="75"/>
      <c r="N229" s="75"/>
      <c r="O229" s="75"/>
      <c r="P229" s="75"/>
    </row>
    <row r="230" spans="1:16" ht="44.25" hidden="1" customHeight="1" x14ac:dyDescent="0.35">
      <c r="A230" s="5"/>
      <c r="B230" s="254" t="e">
        <f ca="1">translate("DescribeEval3", CurrentLanguage)</f>
        <v>#NAME?</v>
      </c>
      <c r="C230" s="254"/>
      <c r="D230" s="254"/>
      <c r="E230" s="254"/>
      <c r="F230" s="205"/>
      <c r="G230" s="208"/>
      <c r="H230" s="208"/>
      <c r="I230" s="208"/>
      <c r="J230" s="208"/>
      <c r="K230" s="208"/>
      <c r="L230" s="208"/>
      <c r="M230" s="208"/>
      <c r="N230" s="208"/>
      <c r="O230" s="206"/>
      <c r="P230" s="15"/>
    </row>
    <row r="231" spans="1:16" ht="6" hidden="1" customHeight="1" x14ac:dyDescent="0.35">
      <c r="A231" s="5"/>
      <c r="B231" s="75"/>
      <c r="C231" s="75"/>
      <c r="D231" s="75"/>
      <c r="E231" s="75"/>
      <c r="F231" s="75"/>
      <c r="G231" s="75"/>
      <c r="H231" s="75"/>
      <c r="I231" s="75"/>
      <c r="J231" s="75"/>
      <c r="K231" s="75"/>
      <c r="L231" s="75"/>
      <c r="M231" s="75"/>
      <c r="N231" s="75"/>
      <c r="O231" s="75"/>
      <c r="P231" s="75"/>
    </row>
    <row r="232" spans="1:16" ht="20.149999999999999" hidden="1" customHeight="1" x14ac:dyDescent="0.35">
      <c r="A232" s="5"/>
      <c r="B232" s="264" t="e">
        <f ca="1">translate("IdentifyIndiv", CurrentLanguage)</f>
        <v>#NAME?</v>
      </c>
      <c r="C232" s="265"/>
      <c r="D232" s="265"/>
      <c r="E232" s="266"/>
      <c r="F232" s="182" t="e">
        <f ca="1">translate("RoleProfile", CurrentLanguage)</f>
        <v>#NAME?</v>
      </c>
      <c r="G232" s="184"/>
      <c r="H232" s="182" t="e">
        <f ca="1">translate("User", CurrentLanguage)</f>
        <v>#NAME?</v>
      </c>
      <c r="I232" s="184"/>
      <c r="J232" s="188" t="e">
        <f ca="1">translate("JobTitle", CurrentLanguage)</f>
        <v>#NAME?</v>
      </c>
      <c r="K232" s="188"/>
      <c r="L232" s="188"/>
      <c r="M232" s="188" t="e">
        <f ca="1">translate("AppropriateAccess", CurrentLanguage)</f>
        <v>#NAME?</v>
      </c>
      <c r="N232" s="188"/>
      <c r="O232" s="188"/>
      <c r="P232" s="33"/>
    </row>
    <row r="233" spans="1:16" ht="20.149999999999999" hidden="1" customHeight="1" x14ac:dyDescent="0.35">
      <c r="A233" s="5"/>
      <c r="B233" s="267"/>
      <c r="C233" s="268"/>
      <c r="D233" s="268"/>
      <c r="E233" s="269"/>
      <c r="F233" s="205"/>
      <c r="G233" s="206"/>
      <c r="H233" s="205"/>
      <c r="I233" s="206"/>
      <c r="J233" s="207"/>
      <c r="K233" s="207"/>
      <c r="L233" s="207"/>
      <c r="M233" s="207"/>
      <c r="N233" s="207"/>
      <c r="O233" s="207"/>
      <c r="P233" s="15"/>
    </row>
    <row r="234" spans="1:16" ht="20.149999999999999" hidden="1" customHeight="1" x14ac:dyDescent="0.35">
      <c r="A234" s="5"/>
      <c r="B234" s="267"/>
      <c r="C234" s="268"/>
      <c r="D234" s="268"/>
      <c r="E234" s="269"/>
      <c r="F234" s="205"/>
      <c r="G234" s="206"/>
      <c r="H234" s="205"/>
      <c r="I234" s="206"/>
      <c r="J234" s="207"/>
      <c r="K234" s="207"/>
      <c r="L234" s="207"/>
      <c r="M234" s="207"/>
      <c r="N234" s="207"/>
      <c r="O234" s="207"/>
      <c r="P234" s="15"/>
    </row>
    <row r="235" spans="1:16" ht="20.149999999999999" hidden="1" customHeight="1" x14ac:dyDescent="0.35">
      <c r="A235" s="5"/>
      <c r="B235" s="270"/>
      <c r="C235" s="271"/>
      <c r="D235" s="271"/>
      <c r="E235" s="272"/>
      <c r="F235" s="205"/>
      <c r="G235" s="206"/>
      <c r="H235" s="205"/>
      <c r="I235" s="206"/>
      <c r="J235" s="207"/>
      <c r="K235" s="207"/>
      <c r="L235" s="207"/>
      <c r="M235" s="207"/>
      <c r="N235" s="207"/>
      <c r="O235" s="207"/>
      <c r="P235" s="15"/>
    </row>
    <row r="236" spans="1:16" ht="6.75" hidden="1" customHeight="1" x14ac:dyDescent="0.35">
      <c r="A236" s="5"/>
      <c r="B236" s="75"/>
      <c r="C236" s="75"/>
      <c r="D236" s="75"/>
      <c r="E236" s="75"/>
      <c r="F236" s="75"/>
      <c r="G236" s="75"/>
      <c r="H236" s="75"/>
      <c r="I236" s="75"/>
      <c r="J236" s="75"/>
      <c r="K236" s="75"/>
      <c r="L236" s="75"/>
      <c r="M236" s="75"/>
      <c r="N236" s="75"/>
      <c r="O236" s="75"/>
      <c r="P236" s="75"/>
    </row>
    <row r="237" spans="1:16" ht="45.75" hidden="1" customHeight="1" x14ac:dyDescent="0.35">
      <c r="A237" s="5"/>
      <c r="B237" s="202" t="e">
        <f ca="1">translate("DocAuditInstance2", CurrentLanguage)</f>
        <v>#NAME?</v>
      </c>
      <c r="C237" s="203"/>
      <c r="D237" s="203"/>
      <c r="E237" s="204"/>
      <c r="F237" s="205"/>
      <c r="G237" s="208"/>
      <c r="H237" s="208"/>
      <c r="I237" s="208"/>
      <c r="J237" s="208"/>
      <c r="K237" s="208"/>
      <c r="L237" s="208"/>
      <c r="M237" s="208"/>
      <c r="N237" s="208"/>
      <c r="O237" s="206"/>
      <c r="P237" s="15"/>
    </row>
    <row r="238" spans="1:16" ht="8.25" customHeight="1" x14ac:dyDescent="0.35">
      <c r="A238" s="5"/>
      <c r="B238" s="75"/>
      <c r="C238" s="75"/>
      <c r="D238" s="75"/>
      <c r="E238" s="75"/>
      <c r="F238" s="75"/>
      <c r="G238" s="75"/>
      <c r="H238" s="75"/>
      <c r="I238" s="75"/>
      <c r="J238" s="75"/>
      <c r="K238" s="75"/>
      <c r="L238" s="75"/>
      <c r="M238" s="75"/>
      <c r="N238" s="75"/>
      <c r="O238" s="75"/>
      <c r="P238" s="75"/>
    </row>
    <row r="239" spans="1:16" ht="20.25" customHeight="1" x14ac:dyDescent="0.35">
      <c r="A239" s="230" t="e">
        <f ca="1">translate("Conclusion", CurrentLanguage)</f>
        <v>#NAME?</v>
      </c>
      <c r="B239" s="231"/>
      <c r="C239" s="231"/>
      <c r="D239" s="231"/>
      <c r="E239" s="231"/>
      <c r="F239" s="231"/>
      <c r="G239" s="231"/>
      <c r="H239" s="231"/>
      <c r="I239" s="231"/>
      <c r="J239" s="231"/>
      <c r="K239" s="231"/>
      <c r="L239" s="231"/>
      <c r="M239" s="231"/>
      <c r="N239" s="231"/>
      <c r="O239" s="231"/>
      <c r="P239" s="8"/>
    </row>
    <row r="240" spans="1:16" ht="6.75" customHeight="1" x14ac:dyDescent="0.35">
      <c r="A240" s="74"/>
      <c r="B240" s="74"/>
      <c r="C240" s="7"/>
      <c r="D240" s="7"/>
      <c r="E240" s="7"/>
      <c r="F240" s="7"/>
      <c r="G240" s="7"/>
      <c r="H240" s="7"/>
      <c r="I240" s="7"/>
      <c r="J240" s="7"/>
      <c r="K240" s="7"/>
      <c r="L240" s="7"/>
      <c r="M240" s="8"/>
      <c r="N240" s="8"/>
      <c r="O240" s="8"/>
      <c r="P240" s="8"/>
    </row>
    <row r="241" spans="1:16" s="113" customFormat="1" ht="20.149999999999999" customHeight="1" x14ac:dyDescent="0.3">
      <c r="A241" s="5"/>
      <c r="B241" s="254" t="e">
        <f ca="1">translate("ExceptNoted", CurrentLanguage)</f>
        <v>#NAME?</v>
      </c>
      <c r="C241" s="254"/>
      <c r="D241" s="254"/>
      <c r="E241" s="254"/>
      <c r="F241" s="254"/>
      <c r="G241" s="254"/>
      <c r="H241" s="112"/>
      <c r="I241" s="5"/>
      <c r="J241" s="5"/>
      <c r="K241" s="5"/>
      <c r="L241" s="5"/>
      <c r="M241" s="5"/>
      <c r="N241" s="5"/>
      <c r="O241" s="5"/>
      <c r="P241" s="5"/>
    </row>
    <row r="242" spans="1:16" s="113" customFormat="1" ht="20.149999999999999" hidden="1" customHeight="1" x14ac:dyDescent="0.3">
      <c r="A242" s="5"/>
      <c r="B242" s="202" t="e">
        <f ca="1">translate("PersuasiveEvidence", CurrentLanguage)</f>
        <v>#NAME?</v>
      </c>
      <c r="C242" s="203"/>
      <c r="D242" s="203"/>
      <c r="E242" s="203"/>
      <c r="F242" s="203"/>
      <c r="G242" s="203"/>
      <c r="H242" s="91"/>
      <c r="I242" s="5"/>
      <c r="J242" s="5"/>
      <c r="K242" s="5"/>
      <c r="L242" s="5"/>
      <c r="M242" s="5"/>
      <c r="N242" s="5"/>
      <c r="O242" s="5"/>
      <c r="P242" s="5"/>
    </row>
    <row r="243" spans="1:16" s="113" customFormat="1" ht="33.75" hidden="1" customHeight="1" x14ac:dyDescent="0.3">
      <c r="A243" s="5"/>
      <c r="B243" s="259" t="e">
        <f ca="1">translate("DescribeNature", CurrentLanguage)</f>
        <v>#NAME?</v>
      </c>
      <c r="C243" s="260"/>
      <c r="D243" s="260"/>
      <c r="E243" s="260"/>
      <c r="F243" s="260"/>
      <c r="G243" s="260"/>
      <c r="H243" s="261"/>
      <c r="I243" s="262"/>
      <c r="J243" s="262"/>
      <c r="K243" s="262"/>
      <c r="L243" s="262"/>
      <c r="M243" s="262"/>
      <c r="N243" s="262"/>
      <c r="O243" s="263"/>
      <c r="P243" s="5"/>
    </row>
    <row r="244" spans="1:16" s="113" customFormat="1" ht="20.149999999999999" hidden="1" customHeight="1" x14ac:dyDescent="0.3">
      <c r="A244" s="5"/>
      <c r="B244" s="275" t="e">
        <f ca="1">translate("DocExtendedSample", CurrentLanguage)</f>
        <v>#NAME?</v>
      </c>
      <c r="C244" s="276"/>
      <c r="D244" s="276"/>
      <c r="E244" s="276"/>
      <c r="F244" s="276"/>
      <c r="G244" s="276"/>
      <c r="H244" s="194"/>
      <c r="I244" s="195"/>
      <c r="J244" s="195"/>
      <c r="K244" s="195"/>
      <c r="L244" s="195"/>
      <c r="M244" s="195"/>
      <c r="N244" s="195"/>
      <c r="O244" s="196"/>
      <c r="P244" s="5"/>
    </row>
    <row r="245" spans="1:16" s="113" customFormat="1" ht="20" hidden="1" customHeight="1" x14ac:dyDescent="0.3">
      <c r="A245" s="5"/>
      <c r="B245" s="202" t="e">
        <f ca="1">translate("IdentifyControls", CurrentLanguage)</f>
        <v>#NAME?</v>
      </c>
      <c r="C245" s="203"/>
      <c r="D245" s="203"/>
      <c r="E245" s="203"/>
      <c r="F245" s="203"/>
      <c r="G245" s="204"/>
      <c r="H245" s="92"/>
      <c r="I245" s="5"/>
      <c r="J245" s="5"/>
      <c r="K245" s="5"/>
      <c r="L245" s="5"/>
      <c r="M245" s="5"/>
      <c r="N245" s="5"/>
      <c r="O245" s="5"/>
      <c r="P245" s="5"/>
    </row>
    <row r="246" spans="1:16" s="113" customFormat="1" ht="20" hidden="1" customHeight="1" x14ac:dyDescent="0.3">
      <c r="A246" s="5"/>
      <c r="B246" s="202" t="e">
        <f ca="1">translate("RefName", CurrentLanguage)</f>
        <v>#NAME?</v>
      </c>
      <c r="C246" s="203"/>
      <c r="D246" s="203"/>
      <c r="E246" s="203"/>
      <c r="F246" s="203"/>
      <c r="G246" s="204"/>
      <c r="H246" s="194"/>
      <c r="I246" s="195"/>
      <c r="J246" s="195"/>
      <c r="K246" s="195"/>
      <c r="L246" s="195"/>
      <c r="M246" s="195"/>
      <c r="N246" s="195"/>
      <c r="O246" s="196"/>
      <c r="P246" s="5"/>
    </row>
    <row r="247" spans="1:16" s="113" customFormat="1" ht="33.75" hidden="1" customHeight="1" x14ac:dyDescent="0.3">
      <c r="A247" s="5"/>
      <c r="B247" s="202" t="e">
        <f ca="1">translate("DescribeExceptions", CurrentLanguage)</f>
        <v>#NAME?</v>
      </c>
      <c r="C247" s="203"/>
      <c r="D247" s="203"/>
      <c r="E247" s="203"/>
      <c r="F247" s="203"/>
      <c r="G247" s="204"/>
      <c r="H247" s="205"/>
      <c r="I247" s="208"/>
      <c r="J247" s="208"/>
      <c r="K247" s="208"/>
      <c r="L247" s="208"/>
      <c r="M247" s="208"/>
      <c r="N247" s="208"/>
      <c r="O247" s="206"/>
      <c r="P247" s="5"/>
    </row>
    <row r="248" spans="1:16" ht="8.25" customHeight="1" x14ac:dyDescent="0.35">
      <c r="A248" s="5"/>
      <c r="B248" s="32"/>
      <c r="C248" s="32"/>
      <c r="D248" s="32"/>
      <c r="E248" s="5"/>
      <c r="F248" s="31"/>
      <c r="G248" s="31"/>
      <c r="H248" s="5"/>
      <c r="I248" s="5"/>
      <c r="J248" s="5"/>
      <c r="K248" s="5"/>
      <c r="L248" s="5"/>
      <c r="M248" s="5"/>
      <c r="N248" s="5"/>
      <c r="O248" s="5"/>
      <c r="P248" s="5"/>
    </row>
    <row r="249" spans="1:16" ht="20.25" customHeight="1" x14ac:dyDescent="0.35">
      <c r="A249" s="76"/>
      <c r="B249" s="258" t="e">
        <f ca="1">translate("OpEffPeriod", CurrentLanguage)</f>
        <v>#NAME?</v>
      </c>
      <c r="C249" s="258"/>
      <c r="D249" s="258"/>
      <c r="E249" s="258"/>
      <c r="F249" s="258"/>
      <c r="G249" s="93"/>
      <c r="H249" s="59"/>
      <c r="I249" s="76"/>
      <c r="J249" s="76"/>
      <c r="K249" s="76"/>
      <c r="L249" s="76"/>
      <c r="M249" s="76"/>
      <c r="N249" s="76"/>
      <c r="O249" s="76"/>
      <c r="P249" s="76"/>
    </row>
    <row r="250" spans="1:16" x14ac:dyDescent="0.35">
      <c r="A250" s="77"/>
      <c r="B250" s="7"/>
      <c r="C250" s="7"/>
      <c r="D250" s="8"/>
      <c r="E250" s="8"/>
      <c r="F250" s="78"/>
      <c r="G250" s="7"/>
      <c r="H250" s="7"/>
      <c r="I250" s="7"/>
      <c r="J250" s="8"/>
      <c r="K250" s="7"/>
      <c r="L250" s="7"/>
      <c r="M250" s="8"/>
      <c r="N250" s="8"/>
      <c r="O250" s="8"/>
      <c r="P250" s="8"/>
    </row>
    <row r="251" spans="1:16" hidden="1" x14ac:dyDescent="0.35"/>
    <row r="252" spans="1:16" hidden="1" x14ac:dyDescent="0.35"/>
    <row r="253" spans="1:16" hidden="1" x14ac:dyDescent="0.35"/>
    <row r="254" spans="1:16" hidden="1" x14ac:dyDescent="0.35"/>
    <row r="255" spans="1:16" hidden="1" x14ac:dyDescent="0.35"/>
    <row r="256" spans="1:16" hidden="1" x14ac:dyDescent="0.35"/>
    <row r="257" hidden="1" x14ac:dyDescent="0.35"/>
    <row r="258" ht="48.75" hidden="1" customHeight="1" x14ac:dyDescent="0.35"/>
    <row r="259" hidden="1" x14ac:dyDescent="0.35"/>
    <row r="260" hidden="1" x14ac:dyDescent="0.35"/>
    <row r="261" hidden="1" x14ac:dyDescent="0.35"/>
    <row r="262" hidden="1" x14ac:dyDescent="0.35"/>
    <row r="263" hidden="1" x14ac:dyDescent="0.35"/>
    <row r="264" hidden="1" x14ac:dyDescent="0.35"/>
    <row r="265" hidden="1" x14ac:dyDescent="0.35"/>
    <row r="266" hidden="1" x14ac:dyDescent="0.35"/>
    <row r="267" hidden="1" x14ac:dyDescent="0.35"/>
    <row r="268" hidden="1" x14ac:dyDescent="0.35"/>
    <row r="269" hidden="1" x14ac:dyDescent="0.35"/>
    <row r="270" hidden="1" x14ac:dyDescent="0.35"/>
    <row r="271" hidden="1" x14ac:dyDescent="0.35"/>
    <row r="272" hidden="1" x14ac:dyDescent="0.35"/>
    <row r="273" hidden="1" x14ac:dyDescent="0.35"/>
    <row r="274" hidden="1" x14ac:dyDescent="0.35"/>
    <row r="275" hidden="1" x14ac:dyDescent="0.35"/>
    <row r="276" hidden="1" x14ac:dyDescent="0.35"/>
    <row r="277" hidden="1" x14ac:dyDescent="0.35"/>
    <row r="278" hidden="1" x14ac:dyDescent="0.35"/>
    <row r="279" hidden="1" x14ac:dyDescent="0.35"/>
    <row r="280" hidden="1" x14ac:dyDescent="0.35"/>
    <row r="281" hidden="1" x14ac:dyDescent="0.35"/>
    <row r="282" hidden="1" x14ac:dyDescent="0.35"/>
    <row r="283" hidden="1" x14ac:dyDescent="0.35"/>
    <row r="284" hidden="1" x14ac:dyDescent="0.35"/>
    <row r="285" hidden="1" x14ac:dyDescent="0.35"/>
    <row r="286" hidden="1" x14ac:dyDescent="0.35"/>
    <row r="287" hidden="1" x14ac:dyDescent="0.35"/>
    <row r="288" hidden="1" x14ac:dyDescent="0.35"/>
    <row r="289" hidden="1" x14ac:dyDescent="0.35"/>
    <row r="290" hidden="1" x14ac:dyDescent="0.35"/>
    <row r="291" hidden="1" x14ac:dyDescent="0.35"/>
    <row r="292" hidden="1" x14ac:dyDescent="0.35"/>
    <row r="293" hidden="1" x14ac:dyDescent="0.35"/>
    <row r="294" hidden="1" x14ac:dyDescent="0.35"/>
    <row r="295" hidden="1" x14ac:dyDescent="0.35"/>
    <row r="296" hidden="1" x14ac:dyDescent="0.35"/>
    <row r="297" hidden="1" x14ac:dyDescent="0.35"/>
    <row r="298" hidden="1" x14ac:dyDescent="0.35"/>
    <row r="299" hidden="1" x14ac:dyDescent="0.35"/>
    <row r="300" hidden="1" x14ac:dyDescent="0.35"/>
    <row r="301" hidden="1" x14ac:dyDescent="0.35"/>
    <row r="302" hidden="1" x14ac:dyDescent="0.35"/>
    <row r="303" hidden="1" x14ac:dyDescent="0.35"/>
    <row r="304" hidden="1" x14ac:dyDescent="0.35"/>
    <row r="305" hidden="1" x14ac:dyDescent="0.35"/>
    <row r="306" hidden="1" x14ac:dyDescent="0.35"/>
    <row r="307" hidden="1" x14ac:dyDescent="0.35"/>
    <row r="308" hidden="1" x14ac:dyDescent="0.35"/>
    <row r="309" hidden="1" x14ac:dyDescent="0.35"/>
    <row r="310" hidden="1" x14ac:dyDescent="0.35"/>
    <row r="311" hidden="1" x14ac:dyDescent="0.35"/>
    <row r="312" hidden="1" x14ac:dyDescent="0.35"/>
    <row r="313" hidden="1" x14ac:dyDescent="0.35"/>
    <row r="314" hidden="1" x14ac:dyDescent="0.35"/>
    <row r="315" hidden="1" x14ac:dyDescent="0.35"/>
    <row r="316" hidden="1" x14ac:dyDescent="0.35"/>
    <row r="317" hidden="1" x14ac:dyDescent="0.35"/>
    <row r="318" hidden="1" x14ac:dyDescent="0.35"/>
    <row r="319" hidden="1" x14ac:dyDescent="0.35"/>
    <row r="320" hidden="1" x14ac:dyDescent="0.35"/>
    <row r="321" hidden="1" x14ac:dyDescent="0.35"/>
    <row r="322" hidden="1" x14ac:dyDescent="0.35"/>
    <row r="323" hidden="1" x14ac:dyDescent="0.35"/>
    <row r="324" hidden="1" x14ac:dyDescent="0.35"/>
    <row r="325" hidden="1" x14ac:dyDescent="0.35"/>
    <row r="326" hidden="1" x14ac:dyDescent="0.35"/>
    <row r="327" hidden="1" x14ac:dyDescent="0.35"/>
    <row r="328" hidden="1" x14ac:dyDescent="0.35"/>
    <row r="329" hidden="1" x14ac:dyDescent="0.35"/>
    <row r="330" hidden="1" x14ac:dyDescent="0.35"/>
    <row r="331" hidden="1" x14ac:dyDescent="0.35"/>
    <row r="332" hidden="1" x14ac:dyDescent="0.35"/>
    <row r="333" hidden="1" x14ac:dyDescent="0.35"/>
    <row r="334" hidden="1" x14ac:dyDescent="0.35"/>
    <row r="335" hidden="1" x14ac:dyDescent="0.35"/>
    <row r="336" hidden="1" x14ac:dyDescent="0.35"/>
    <row r="337" hidden="1" x14ac:dyDescent="0.35"/>
    <row r="338" hidden="1" x14ac:dyDescent="0.35"/>
    <row r="339" hidden="1" x14ac:dyDescent="0.35"/>
    <row r="340" hidden="1" x14ac:dyDescent="0.35"/>
    <row r="341" hidden="1" x14ac:dyDescent="0.35"/>
    <row r="342" hidden="1" x14ac:dyDescent="0.35"/>
    <row r="343" hidden="1" x14ac:dyDescent="0.35"/>
    <row r="344" hidden="1" x14ac:dyDescent="0.35"/>
    <row r="345" hidden="1" x14ac:dyDescent="0.35"/>
    <row r="346" hidden="1" x14ac:dyDescent="0.35"/>
    <row r="347" hidden="1" x14ac:dyDescent="0.35"/>
    <row r="348" hidden="1" x14ac:dyDescent="0.35"/>
    <row r="349" hidden="1" x14ac:dyDescent="0.35"/>
    <row r="350" hidden="1" x14ac:dyDescent="0.35"/>
    <row r="351" hidden="1" x14ac:dyDescent="0.35"/>
    <row r="352" hidden="1" x14ac:dyDescent="0.35"/>
    <row r="353" hidden="1" x14ac:dyDescent="0.35"/>
    <row r="354" hidden="1" x14ac:dyDescent="0.35"/>
    <row r="355" hidden="1" x14ac:dyDescent="0.35"/>
    <row r="356" hidden="1" x14ac:dyDescent="0.35"/>
    <row r="357" hidden="1" x14ac:dyDescent="0.35"/>
    <row r="358" hidden="1" x14ac:dyDescent="0.35"/>
    <row r="359" hidden="1" x14ac:dyDescent="0.35"/>
    <row r="360" hidden="1" x14ac:dyDescent="0.35"/>
    <row r="361" hidden="1" x14ac:dyDescent="0.35"/>
    <row r="362" hidden="1" x14ac:dyDescent="0.35"/>
    <row r="363" hidden="1" x14ac:dyDescent="0.35"/>
    <row r="364" hidden="1" x14ac:dyDescent="0.35"/>
    <row r="365" hidden="1" x14ac:dyDescent="0.35"/>
    <row r="366" hidden="1" x14ac:dyDescent="0.35"/>
    <row r="367" hidden="1" x14ac:dyDescent="0.35"/>
    <row r="368" hidden="1" x14ac:dyDescent="0.35"/>
    <row r="369" hidden="1" x14ac:dyDescent="0.35"/>
    <row r="370" hidden="1" x14ac:dyDescent="0.35"/>
    <row r="371" hidden="1" x14ac:dyDescent="0.35"/>
    <row r="372" hidden="1" x14ac:dyDescent="0.35"/>
    <row r="373" hidden="1" x14ac:dyDescent="0.35"/>
    <row r="374" hidden="1" x14ac:dyDescent="0.35"/>
    <row r="375" hidden="1" x14ac:dyDescent="0.35"/>
    <row r="376" hidden="1" x14ac:dyDescent="0.35"/>
    <row r="377" hidden="1" x14ac:dyDescent="0.35"/>
    <row r="378" hidden="1" x14ac:dyDescent="0.35"/>
    <row r="379" hidden="1" x14ac:dyDescent="0.35"/>
    <row r="380" hidden="1" x14ac:dyDescent="0.35"/>
    <row r="381" hidden="1" x14ac:dyDescent="0.35"/>
    <row r="382" hidden="1" x14ac:dyDescent="0.35"/>
    <row r="383" hidden="1" x14ac:dyDescent="0.35"/>
    <row r="384" hidden="1" x14ac:dyDescent="0.35"/>
    <row r="385" hidden="1" x14ac:dyDescent="0.35"/>
    <row r="386" hidden="1" x14ac:dyDescent="0.35"/>
    <row r="387" hidden="1" x14ac:dyDescent="0.35"/>
    <row r="388" hidden="1" x14ac:dyDescent="0.35"/>
    <row r="389" hidden="1" x14ac:dyDescent="0.35"/>
    <row r="390" hidden="1" x14ac:dyDescent="0.35"/>
    <row r="391" hidden="1" x14ac:dyDescent="0.35"/>
    <row r="392" hidden="1" x14ac:dyDescent="0.35"/>
    <row r="393" hidden="1" x14ac:dyDescent="0.35"/>
    <row r="394" hidden="1" x14ac:dyDescent="0.35"/>
    <row r="395" hidden="1" x14ac:dyDescent="0.35"/>
    <row r="396" hidden="1" x14ac:dyDescent="0.35"/>
    <row r="397" hidden="1" x14ac:dyDescent="0.35"/>
    <row r="398" hidden="1" x14ac:dyDescent="0.35"/>
    <row r="399" hidden="1" x14ac:dyDescent="0.35"/>
    <row r="400" hidden="1" x14ac:dyDescent="0.35"/>
    <row r="401" spans="27:27" hidden="1" x14ac:dyDescent="0.35"/>
    <row r="402" spans="27:27" hidden="1" x14ac:dyDescent="0.35"/>
    <row r="403" spans="27:27" hidden="1" x14ac:dyDescent="0.35"/>
    <row r="404" spans="27:27" hidden="1" x14ac:dyDescent="0.35"/>
    <row r="405" spans="27:27" hidden="1" x14ac:dyDescent="0.35"/>
    <row r="406" spans="27:27" hidden="1" x14ac:dyDescent="0.35"/>
    <row r="407" spans="27:27" hidden="1" x14ac:dyDescent="0.35"/>
    <row r="408" spans="27:27" hidden="1" x14ac:dyDescent="0.35"/>
    <row r="409" spans="27:27" hidden="1" x14ac:dyDescent="0.35"/>
    <row r="410" spans="27:27" hidden="1" x14ac:dyDescent="0.35"/>
    <row r="411" spans="27:27" hidden="1" x14ac:dyDescent="0.35"/>
    <row r="412" spans="27:27" hidden="1" x14ac:dyDescent="0.35"/>
    <row r="413" spans="27:27" ht="20" hidden="1" customHeight="1" x14ac:dyDescent="0.35">
      <c r="AA413" s="115"/>
    </row>
    <row r="414" spans="27:27" x14ac:dyDescent="0.35"/>
  </sheetData>
  <sheetProtection formatCells="0" formatRows="0" insertRows="0" deleteRows="0" sort="0" autoFilter="0"/>
  <dataConsolidate/>
  <mergeCells count="336">
    <mergeCell ref="H32:L32"/>
    <mergeCell ref="C215:L215"/>
    <mergeCell ref="C209:E209"/>
    <mergeCell ref="C210:E210"/>
    <mergeCell ref="E172:O172"/>
    <mergeCell ref="C201:E201"/>
    <mergeCell ref="C202:E202"/>
    <mergeCell ref="C195:E195"/>
    <mergeCell ref="C196:E196"/>
    <mergeCell ref="C197:E197"/>
    <mergeCell ref="C198:E198"/>
    <mergeCell ref="C199:E199"/>
    <mergeCell ref="C200:E200"/>
    <mergeCell ref="C203:E203"/>
    <mergeCell ref="C204:E204"/>
    <mergeCell ref="C205:E205"/>
    <mergeCell ref="C206:E206"/>
    <mergeCell ref="C207:E207"/>
    <mergeCell ref="C208:E208"/>
    <mergeCell ref="C191:E191"/>
    <mergeCell ref="C192:E192"/>
    <mergeCell ref="C193:E193"/>
    <mergeCell ref="C194:E194"/>
    <mergeCell ref="C190:E190"/>
    <mergeCell ref="M45:O45"/>
    <mergeCell ref="F50:G50"/>
    <mergeCell ref="B64:E64"/>
    <mergeCell ref="B66:E69"/>
    <mergeCell ref="H47:I47"/>
    <mergeCell ref="A82:O82"/>
    <mergeCell ref="A102:O102"/>
    <mergeCell ref="B104:E104"/>
    <mergeCell ref="A73:O73"/>
    <mergeCell ref="C76:K76"/>
    <mergeCell ref="A87:O87"/>
    <mergeCell ref="B89:D91"/>
    <mergeCell ref="E89:G89"/>
    <mergeCell ref="E90:G90"/>
    <mergeCell ref="I104:L104"/>
    <mergeCell ref="C83:O83"/>
    <mergeCell ref="A83:B83"/>
    <mergeCell ref="L76:O76"/>
    <mergeCell ref="L77:O77"/>
    <mergeCell ref="L78:O78"/>
    <mergeCell ref="E96:G96"/>
    <mergeCell ref="H53:I53"/>
    <mergeCell ref="H45:I45"/>
    <mergeCell ref="J235:L235"/>
    <mergeCell ref="H232:I232"/>
    <mergeCell ref="J232:L232"/>
    <mergeCell ref="F225:G225"/>
    <mergeCell ref="B25:J25"/>
    <mergeCell ref="C116:E116"/>
    <mergeCell ref="C117:E117"/>
    <mergeCell ref="C118:E118"/>
    <mergeCell ref="C119:E119"/>
    <mergeCell ref="B124:L124"/>
    <mergeCell ref="B133:D133"/>
    <mergeCell ref="B150:F150"/>
    <mergeCell ref="B151:F151"/>
    <mergeCell ref="B152:F152"/>
    <mergeCell ref="B172:D172"/>
    <mergeCell ref="B163:E163"/>
    <mergeCell ref="B143:B146"/>
    <mergeCell ref="C143:F143"/>
    <mergeCell ref="C144:F144"/>
    <mergeCell ref="C145:F145"/>
    <mergeCell ref="C120:E120"/>
    <mergeCell ref="C177:F177"/>
    <mergeCell ref="F34:O34"/>
    <mergeCell ref="H235:I235"/>
    <mergeCell ref="A1:B1"/>
    <mergeCell ref="A3:B3"/>
    <mergeCell ref="E77:K77"/>
    <mergeCell ref="E78:K78"/>
    <mergeCell ref="C77:D78"/>
    <mergeCell ref="B55:E55"/>
    <mergeCell ref="B57:E57"/>
    <mergeCell ref="B59:E62"/>
    <mergeCell ref="F55:O55"/>
    <mergeCell ref="F57:O57"/>
    <mergeCell ref="F59:G59"/>
    <mergeCell ref="F60:G60"/>
    <mergeCell ref="F61:G61"/>
    <mergeCell ref="F62:G62"/>
    <mergeCell ref="A4:B4"/>
    <mergeCell ref="B10:F10"/>
    <mergeCell ref="E2:F2"/>
    <mergeCell ref="F27:O27"/>
    <mergeCell ref="A8:O8"/>
    <mergeCell ref="D11:O11"/>
    <mergeCell ref="G10:H10"/>
    <mergeCell ref="F51:G51"/>
    <mergeCell ref="A2:B2"/>
    <mergeCell ref="A5:B5"/>
    <mergeCell ref="B244:G244"/>
    <mergeCell ref="B247:G247"/>
    <mergeCell ref="H247:O247"/>
    <mergeCell ref="B213:L213"/>
    <mergeCell ref="C185:E185"/>
    <mergeCell ref="C186:E186"/>
    <mergeCell ref="C187:E187"/>
    <mergeCell ref="C188:E188"/>
    <mergeCell ref="C214:L214"/>
    <mergeCell ref="A218:O218"/>
    <mergeCell ref="H228:I228"/>
    <mergeCell ref="J228:O228"/>
    <mergeCell ref="F237:O237"/>
    <mergeCell ref="F235:G235"/>
    <mergeCell ref="F234:G234"/>
    <mergeCell ref="F232:G232"/>
    <mergeCell ref="C189:E189"/>
    <mergeCell ref="H227:I227"/>
    <mergeCell ref="J227:O227"/>
    <mergeCell ref="J226:O226"/>
    <mergeCell ref="F227:G227"/>
    <mergeCell ref="B221:E221"/>
    <mergeCell ref="H226:I226"/>
    <mergeCell ref="B230:E230"/>
    <mergeCell ref="A167:O167"/>
    <mergeCell ref="A168:B168"/>
    <mergeCell ref="C168:O168"/>
    <mergeCell ref="A148:O148"/>
    <mergeCell ref="F221:G221"/>
    <mergeCell ref="C178:F178"/>
    <mergeCell ref="G178:O178"/>
    <mergeCell ref="C181:F181"/>
    <mergeCell ref="G181:O181"/>
    <mergeCell ref="B249:F249"/>
    <mergeCell ref="B241:G241"/>
    <mergeCell ref="B242:G242"/>
    <mergeCell ref="B243:G243"/>
    <mergeCell ref="H243:O243"/>
    <mergeCell ref="B245:G245"/>
    <mergeCell ref="B246:G246"/>
    <mergeCell ref="H244:O244"/>
    <mergeCell ref="F222:O222"/>
    <mergeCell ref="F230:O230"/>
    <mergeCell ref="B222:E222"/>
    <mergeCell ref="B223:E223"/>
    <mergeCell ref="B225:E228"/>
    <mergeCell ref="M234:O234"/>
    <mergeCell ref="J234:L234"/>
    <mergeCell ref="M233:O233"/>
    <mergeCell ref="H234:I234"/>
    <mergeCell ref="F228:G228"/>
    <mergeCell ref="H246:O246"/>
    <mergeCell ref="A239:O239"/>
    <mergeCell ref="B232:E235"/>
    <mergeCell ref="F233:G233"/>
    <mergeCell ref="H233:I233"/>
    <mergeCell ref="J233:L233"/>
    <mergeCell ref="C109:F109"/>
    <mergeCell ref="C125:L125"/>
    <mergeCell ref="B157:B159"/>
    <mergeCell ref="B136:F136"/>
    <mergeCell ref="A169:O169"/>
    <mergeCell ref="F45:G45"/>
    <mergeCell ref="C112:F112"/>
    <mergeCell ref="G112:O112"/>
    <mergeCell ref="C121:E121"/>
    <mergeCell ref="E94:G94"/>
    <mergeCell ref="C100:E100"/>
    <mergeCell ref="F100:O100"/>
    <mergeCell ref="C99:J99"/>
    <mergeCell ref="B161:D161"/>
    <mergeCell ref="G161:J161"/>
    <mergeCell ref="A165:O165"/>
    <mergeCell ref="A154:O154"/>
    <mergeCell ref="C74:O74"/>
    <mergeCell ref="M46:O46"/>
    <mergeCell ref="F67:G67"/>
    <mergeCell ref="J67:L67"/>
    <mergeCell ref="M66:O66"/>
    <mergeCell ref="M67:O67"/>
    <mergeCell ref="C111:F111"/>
    <mergeCell ref="A23:O23"/>
    <mergeCell ref="H60:I60"/>
    <mergeCell ref="H61:I61"/>
    <mergeCell ref="B71:E71"/>
    <mergeCell ref="A36:O36"/>
    <mergeCell ref="F71:O71"/>
    <mergeCell ref="B29:E32"/>
    <mergeCell ref="B27:E27"/>
    <mergeCell ref="J50:O50"/>
    <mergeCell ref="J51:O51"/>
    <mergeCell ref="B34:E34"/>
    <mergeCell ref="K25:M25"/>
    <mergeCell ref="F29:G29"/>
    <mergeCell ref="H29:L29"/>
    <mergeCell ref="M29:O29"/>
    <mergeCell ref="F30:G30"/>
    <mergeCell ref="F31:G31"/>
    <mergeCell ref="F32:G32"/>
    <mergeCell ref="H30:L30"/>
    <mergeCell ref="H31:L31"/>
    <mergeCell ref="M30:O30"/>
    <mergeCell ref="M31:O31"/>
    <mergeCell ref="H46:I46"/>
    <mergeCell ref="M32:O32"/>
    <mergeCell ref="B11:C11"/>
    <mergeCell ref="B13:C13"/>
    <mergeCell ref="D13:F13"/>
    <mergeCell ref="G13:I13"/>
    <mergeCell ref="J13:L13"/>
    <mergeCell ref="B21:F21"/>
    <mergeCell ref="A18:O18"/>
    <mergeCell ref="G20:H20"/>
    <mergeCell ref="G14:I14"/>
    <mergeCell ref="J14:L14"/>
    <mergeCell ref="B16:E16"/>
    <mergeCell ref="F16:L16"/>
    <mergeCell ref="B14:C14"/>
    <mergeCell ref="D14:F14"/>
    <mergeCell ref="B20:F20"/>
    <mergeCell ref="G21:O21"/>
    <mergeCell ref="G111:O111"/>
    <mergeCell ref="F163:O163"/>
    <mergeCell ref="K161:M161"/>
    <mergeCell ref="G136:O136"/>
    <mergeCell ref="A128:O128"/>
    <mergeCell ref="A141:B141"/>
    <mergeCell ref="C180:F180"/>
    <mergeCell ref="G180:O180"/>
    <mergeCell ref="C158:E158"/>
    <mergeCell ref="C159:E159"/>
    <mergeCell ref="C157:E157"/>
    <mergeCell ref="C166:O166"/>
    <mergeCell ref="E173:O173"/>
    <mergeCell ref="A129:B129"/>
    <mergeCell ref="C129:O129"/>
    <mergeCell ref="C179:F179"/>
    <mergeCell ref="G179:O179"/>
    <mergeCell ref="B173:D173"/>
    <mergeCell ref="A175:O175"/>
    <mergeCell ref="C141:O141"/>
    <mergeCell ref="A140:O140"/>
    <mergeCell ref="B138:J138"/>
    <mergeCell ref="B135:E135"/>
    <mergeCell ref="G177:O177"/>
    <mergeCell ref="B237:E237"/>
    <mergeCell ref="H225:I225"/>
    <mergeCell ref="J225:O225"/>
    <mergeCell ref="G108:O108"/>
    <mergeCell ref="H106:O106"/>
    <mergeCell ref="F226:G226"/>
    <mergeCell ref="M235:O235"/>
    <mergeCell ref="M232:O232"/>
    <mergeCell ref="F223:O223"/>
    <mergeCell ref="C170:O170"/>
    <mergeCell ref="A219:B219"/>
    <mergeCell ref="C219:O219"/>
    <mergeCell ref="C110:F110"/>
    <mergeCell ref="G110:O110"/>
    <mergeCell ref="E133:O133"/>
    <mergeCell ref="B131:G131"/>
    <mergeCell ref="B132:G132"/>
    <mergeCell ref="H131:I131"/>
    <mergeCell ref="K138:L138"/>
    <mergeCell ref="C146:F146"/>
    <mergeCell ref="A170:B170"/>
    <mergeCell ref="A166:B166"/>
    <mergeCell ref="A155:B155"/>
    <mergeCell ref="C155:O155"/>
    <mergeCell ref="E1:F1"/>
    <mergeCell ref="G1:O1"/>
    <mergeCell ref="G2:O2"/>
    <mergeCell ref="E3:F3"/>
    <mergeCell ref="E4:F4"/>
    <mergeCell ref="G4:J4"/>
    <mergeCell ref="G3:O3"/>
    <mergeCell ref="B50:E53"/>
    <mergeCell ref="J48:L48"/>
    <mergeCell ref="M48:O48"/>
    <mergeCell ref="F52:G52"/>
    <mergeCell ref="F53:G53"/>
    <mergeCell ref="H50:I50"/>
    <mergeCell ref="H52:I52"/>
    <mergeCell ref="J53:O53"/>
    <mergeCell ref="J52:O52"/>
    <mergeCell ref="B41:E41"/>
    <mergeCell ref="B43:E43"/>
    <mergeCell ref="F43:O43"/>
    <mergeCell ref="F46:G46"/>
    <mergeCell ref="F47:G47"/>
    <mergeCell ref="H48:I48"/>
    <mergeCell ref="J46:L46"/>
    <mergeCell ref="J47:L47"/>
    <mergeCell ref="C108:F108"/>
    <mergeCell ref="G109:O109"/>
    <mergeCell ref="B98:K98"/>
    <mergeCell ref="B106:G106"/>
    <mergeCell ref="M47:O47"/>
    <mergeCell ref="B39:E39"/>
    <mergeCell ref="F48:G48"/>
    <mergeCell ref="J45:L45"/>
    <mergeCell ref="B45:E48"/>
    <mergeCell ref="J66:L66"/>
    <mergeCell ref="H67:I67"/>
    <mergeCell ref="M68:O68"/>
    <mergeCell ref="M69:O69"/>
    <mergeCell ref="H51:I51"/>
    <mergeCell ref="H62:I62"/>
    <mergeCell ref="F64:O64"/>
    <mergeCell ref="F66:G66"/>
    <mergeCell ref="H66:I66"/>
    <mergeCell ref="F68:G68"/>
    <mergeCell ref="F69:G69"/>
    <mergeCell ref="J68:L68"/>
    <mergeCell ref="J69:L69"/>
    <mergeCell ref="J59:O59"/>
    <mergeCell ref="J60:O60"/>
    <mergeCell ref="C37:O37"/>
    <mergeCell ref="F41:O41"/>
    <mergeCell ref="H96:O96"/>
    <mergeCell ref="B93:D96"/>
    <mergeCell ref="A74:B74"/>
    <mergeCell ref="H69:I69"/>
    <mergeCell ref="H68:I68"/>
    <mergeCell ref="H93:I93"/>
    <mergeCell ref="B85:E85"/>
    <mergeCell ref="E95:G95"/>
    <mergeCell ref="E80:O80"/>
    <mergeCell ref="A37:B37"/>
    <mergeCell ref="H94:O94"/>
    <mergeCell ref="H95:O95"/>
    <mergeCell ref="H90:I90"/>
    <mergeCell ref="H91:I91"/>
    <mergeCell ref="B76:B78"/>
    <mergeCell ref="B80:D80"/>
    <mergeCell ref="H59:I59"/>
    <mergeCell ref="E91:G91"/>
    <mergeCell ref="E93:G93"/>
    <mergeCell ref="H89:I89"/>
    <mergeCell ref="J61:O61"/>
    <mergeCell ref="J62:O62"/>
  </mergeCells>
  <conditionalFormatting sqref="D13 G10 D11 K99 G136 F135 E172:E173 H241 H245:H246 F163 K161 C117:G120 G4 G1:G2 C1:C2 C4:C5 C178:O179 C109:O110 G150:G152 F186:F189 C207:E210">
    <cfRule type="containsBlanks" dxfId="94" priority="367">
      <formula>LEN(TRIM(C1))=0</formula>
    </cfRule>
  </conditionalFormatting>
  <conditionalFormatting sqref="G4">
    <cfRule type="expression" dxfId="93" priority="356">
      <formula>IF(S2&lt;&gt;"Effective",TRUE,FALSE)</formula>
    </cfRule>
    <cfRule type="expression" dxfId="92" priority="357">
      <formula>IF(S2="Effective",TRUE,FALSE)</formula>
    </cfRule>
  </conditionalFormatting>
  <conditionalFormatting sqref="J14:L14 D14 J13">
    <cfRule type="containsBlanks" dxfId="91" priority="368">
      <formula>LEN(TRIM(D13))=0</formula>
    </cfRule>
  </conditionalFormatting>
  <conditionalFormatting sqref="G20">
    <cfRule type="containsBlanks" dxfId="90" priority="371">
      <formula>LEN(TRIM(G20))=0</formula>
    </cfRule>
  </conditionalFormatting>
  <conditionalFormatting sqref="H242">
    <cfRule type="containsBlanks" dxfId="89" priority="369">
      <formula>LEN(TRIM(H242))=0</formula>
    </cfRule>
  </conditionalFormatting>
  <conditionalFormatting sqref="H247">
    <cfRule type="containsBlanks" dxfId="88" priority="370">
      <formula>LEN(TRIM(H247))=0</formula>
    </cfRule>
  </conditionalFormatting>
  <conditionalFormatting sqref="H243:O244">
    <cfRule type="containsBlanks" dxfId="87" priority="280">
      <formula>LEN(TRIM(H243))=0</formula>
    </cfRule>
  </conditionalFormatting>
  <conditionalFormatting sqref="F16:L16">
    <cfRule type="containsBlanks" dxfId="86" priority="279">
      <formula>LEN(TRIM(F16))=0</formula>
    </cfRule>
  </conditionalFormatting>
  <conditionalFormatting sqref="K25:M25">
    <cfRule type="containsBlanks" dxfId="85" priority="278">
      <formula>LEN(TRIM(K25))=0</formula>
    </cfRule>
  </conditionalFormatting>
  <conditionalFormatting sqref="F30:O32">
    <cfRule type="containsBlanks" dxfId="84" priority="277">
      <formula>LEN(TRIM(F30))=0</formula>
    </cfRule>
  </conditionalFormatting>
  <conditionalFormatting sqref="F27:O27">
    <cfRule type="containsBlanks" dxfId="83" priority="276">
      <formula>LEN(TRIM(F27))=0</formula>
    </cfRule>
  </conditionalFormatting>
  <conditionalFormatting sqref="F34:O34">
    <cfRule type="containsBlanks" dxfId="82" priority="275">
      <formula>LEN(TRIM(F34))=0</formula>
    </cfRule>
  </conditionalFormatting>
  <conditionalFormatting sqref="F41">
    <cfRule type="containsBlanks" dxfId="81" priority="273">
      <formula>LEN(TRIM(F41))=0</formula>
    </cfRule>
  </conditionalFormatting>
  <conditionalFormatting sqref="F43:O43">
    <cfRule type="containsBlanks" dxfId="80" priority="272">
      <formula>LEN(TRIM(F43))=0</formula>
    </cfRule>
  </conditionalFormatting>
  <conditionalFormatting sqref="F46:O48">
    <cfRule type="containsBlanks" dxfId="79" priority="271">
      <formula>LEN(TRIM(F46))=0</formula>
    </cfRule>
  </conditionalFormatting>
  <conditionalFormatting sqref="F51:O53">
    <cfRule type="containsBlanks" dxfId="78" priority="270">
      <formula>LEN(TRIM(F51))=0</formula>
    </cfRule>
  </conditionalFormatting>
  <conditionalFormatting sqref="F55:O55">
    <cfRule type="containsBlanks" dxfId="77" priority="269">
      <formula>LEN(TRIM(F55))=0</formula>
    </cfRule>
  </conditionalFormatting>
  <conditionalFormatting sqref="F57:O57">
    <cfRule type="containsBlanks" dxfId="76" priority="268">
      <formula>LEN(TRIM(F57))=0</formula>
    </cfRule>
  </conditionalFormatting>
  <conditionalFormatting sqref="F60:O62">
    <cfRule type="containsBlanks" dxfId="75" priority="267">
      <formula>LEN(TRIM(F60))=0</formula>
    </cfRule>
  </conditionalFormatting>
  <conditionalFormatting sqref="F64:O64">
    <cfRule type="containsBlanks" dxfId="74" priority="266">
      <formula>LEN(TRIM(F64))=0</formula>
    </cfRule>
  </conditionalFormatting>
  <conditionalFormatting sqref="F67:O69">
    <cfRule type="containsBlanks" dxfId="73" priority="265">
      <formula>LEN(TRIM(F67))=0</formula>
    </cfRule>
  </conditionalFormatting>
  <conditionalFormatting sqref="F71:O71">
    <cfRule type="containsBlanks" dxfId="72" priority="264">
      <formula>LEN(TRIM(F71))=0</formula>
    </cfRule>
  </conditionalFormatting>
  <conditionalFormatting sqref="L76:O78">
    <cfRule type="containsBlanks" dxfId="71" priority="263">
      <formula>LEN(TRIM(L76))=0</formula>
    </cfRule>
  </conditionalFormatting>
  <conditionalFormatting sqref="F100">
    <cfRule type="containsBlanks" dxfId="70" priority="262">
      <formula>LEN(TRIM(F100))=0</formula>
    </cfRule>
  </conditionalFormatting>
  <conditionalFormatting sqref="G143:G146">
    <cfRule type="containsBlanks" dxfId="69" priority="260">
      <formula>LEN(TRIM(G143))=0</formula>
    </cfRule>
  </conditionalFormatting>
  <conditionalFormatting sqref="F157:F159">
    <cfRule type="containsBlanks" dxfId="68" priority="259">
      <formula>LEN(TRIM(F157))=0</formula>
    </cfRule>
  </conditionalFormatting>
  <conditionalFormatting sqref="E161">
    <cfRule type="containsBlanks" dxfId="67" priority="257">
      <formula>LEN(TRIM(E161))=0</formula>
    </cfRule>
  </conditionalFormatting>
  <conditionalFormatting sqref="F222:O222 F221">
    <cfRule type="containsBlanks" dxfId="66" priority="255">
      <formula>LEN(TRIM(F221))=0</formula>
    </cfRule>
  </conditionalFormatting>
  <conditionalFormatting sqref="F223:O223">
    <cfRule type="containsBlanks" dxfId="65" priority="254">
      <formula>LEN(TRIM(F223))=0</formula>
    </cfRule>
  </conditionalFormatting>
  <conditionalFormatting sqref="F226:O228">
    <cfRule type="containsBlanks" dxfId="64" priority="253">
      <formula>LEN(TRIM(F226))=0</formula>
    </cfRule>
  </conditionalFormatting>
  <conditionalFormatting sqref="F230:O230">
    <cfRule type="containsBlanks" dxfId="63" priority="250">
      <formula>LEN(TRIM(F230))=0</formula>
    </cfRule>
  </conditionalFormatting>
  <conditionalFormatting sqref="F233:O235">
    <cfRule type="containsBlanks" dxfId="62" priority="249">
      <formula>LEN(TRIM(F233))=0</formula>
    </cfRule>
  </conditionalFormatting>
  <conditionalFormatting sqref="F237:O237">
    <cfRule type="containsBlanks" dxfId="61" priority="248">
      <formula>LEN(TRIM(F237))=0</formula>
    </cfRule>
  </conditionalFormatting>
  <conditionalFormatting sqref="F39">
    <cfRule type="containsBlanks" dxfId="60" priority="246">
      <formula>LEN(TRIM(F39))=0</formula>
    </cfRule>
  </conditionalFormatting>
  <conditionalFormatting sqref="G21 E80 F85 H89:I91 F104 H106:O106 E133 K138:L138 G249 H93:H96 H131:H132">
    <cfRule type="containsBlanks" dxfId="59" priority="346">
      <formula>LEN(TRIM(E21))=0</formula>
    </cfRule>
  </conditionalFormatting>
  <conditionalFormatting sqref="C3">
    <cfRule type="containsBlanks" dxfId="58" priority="244">
      <formula>LEN(TRIM(C3))=0</formula>
    </cfRule>
  </conditionalFormatting>
  <conditionalFormatting sqref="G3">
    <cfRule type="containsBlanks" dxfId="57" priority="201">
      <formula>LEN(TRIM(G3))=0</formula>
    </cfRule>
  </conditionalFormatting>
  <conditionalFormatting sqref="C180:F180">
    <cfRule type="containsBlanks" dxfId="56" priority="197">
      <formula>LEN(TRIM(C180))=0</formula>
    </cfRule>
  </conditionalFormatting>
  <conditionalFormatting sqref="G180:O180">
    <cfRule type="containsBlanks" dxfId="55" priority="198">
      <formula>LEN(TRIM(G180))=0</formula>
    </cfRule>
  </conditionalFormatting>
  <conditionalFormatting sqref="C111:O111">
    <cfRule type="containsBlanks" dxfId="54" priority="193">
      <formula>LEN(TRIM(C111))=0</formula>
    </cfRule>
  </conditionalFormatting>
  <conditionalFormatting sqref="C121:G121">
    <cfRule type="containsBlanks" dxfId="53" priority="192">
      <formula>LEN(TRIM(C121))=0</formula>
    </cfRule>
  </conditionalFormatting>
  <conditionalFormatting sqref="C112:O112">
    <cfRule type="containsBlanks" dxfId="52" priority="184">
      <formula>LEN(TRIM(C112))=0</formula>
    </cfRule>
  </conditionalFormatting>
  <conditionalFormatting sqref="H117:H119">
    <cfRule type="containsBlanks" dxfId="51" priority="177">
      <formula>LEN(TRIM(H117))=0</formula>
    </cfRule>
  </conditionalFormatting>
  <conditionalFormatting sqref="H120">
    <cfRule type="containsBlanks" dxfId="50" priority="176">
      <formula>LEN(TRIM(H120))=0</formula>
    </cfRule>
  </conditionalFormatting>
  <conditionalFormatting sqref="H121">
    <cfRule type="containsBlanks" dxfId="49" priority="175">
      <formula>LEN(TRIM(H121))=0</formula>
    </cfRule>
  </conditionalFormatting>
  <conditionalFormatting sqref="I117:I119">
    <cfRule type="containsBlanks" dxfId="48" priority="171">
      <formula>LEN(TRIM(I117))=0</formula>
    </cfRule>
  </conditionalFormatting>
  <conditionalFormatting sqref="I120">
    <cfRule type="containsBlanks" dxfId="47" priority="170">
      <formula>LEN(TRIM(I120))=0</formula>
    </cfRule>
  </conditionalFormatting>
  <conditionalFormatting sqref="I121">
    <cfRule type="containsBlanks" dxfId="46" priority="169">
      <formula>LEN(TRIM(I121))=0</formula>
    </cfRule>
  </conditionalFormatting>
  <conditionalFormatting sqref="J117:J119">
    <cfRule type="containsBlanks" dxfId="45" priority="168">
      <formula>LEN(TRIM(J117))=0</formula>
    </cfRule>
  </conditionalFormatting>
  <conditionalFormatting sqref="J120">
    <cfRule type="containsBlanks" dxfId="44" priority="167">
      <formula>LEN(TRIM(J120))=0</formula>
    </cfRule>
  </conditionalFormatting>
  <conditionalFormatting sqref="J121">
    <cfRule type="containsBlanks" dxfId="43" priority="166">
      <formula>LEN(TRIM(J121))=0</formula>
    </cfRule>
  </conditionalFormatting>
  <conditionalFormatting sqref="K117:K119">
    <cfRule type="containsBlanks" dxfId="42" priority="165">
      <formula>LEN(TRIM(K117))=0</formula>
    </cfRule>
  </conditionalFormatting>
  <conditionalFormatting sqref="K120">
    <cfRule type="containsBlanks" dxfId="41" priority="164">
      <formula>LEN(TRIM(K120))=0</formula>
    </cfRule>
  </conditionalFormatting>
  <conditionalFormatting sqref="K121">
    <cfRule type="containsBlanks" dxfId="40" priority="163">
      <formula>LEN(TRIM(K121))=0</formula>
    </cfRule>
  </conditionalFormatting>
  <conditionalFormatting sqref="L117:L119">
    <cfRule type="containsBlanks" dxfId="39" priority="162">
      <formula>LEN(TRIM(L117))=0</formula>
    </cfRule>
  </conditionalFormatting>
  <conditionalFormatting sqref="L120">
    <cfRule type="containsBlanks" dxfId="38" priority="161">
      <formula>LEN(TRIM(L120))=0</formula>
    </cfRule>
  </conditionalFormatting>
  <conditionalFormatting sqref="L121">
    <cfRule type="containsBlanks" dxfId="37" priority="160">
      <formula>LEN(TRIM(L121))=0</formula>
    </cfRule>
  </conditionalFormatting>
  <conditionalFormatting sqref="H186">
    <cfRule type="containsBlanks" dxfId="36" priority="159">
      <formula>LEN(TRIM(H186))=0</formula>
    </cfRule>
  </conditionalFormatting>
  <conditionalFormatting sqref="I186">
    <cfRule type="containsBlanks" dxfId="35" priority="158">
      <formula>LEN(TRIM(I186))=0</formula>
    </cfRule>
  </conditionalFormatting>
  <conditionalFormatting sqref="J186">
    <cfRule type="containsBlanks" dxfId="34" priority="157">
      <formula>LEN(TRIM(J186))=0</formula>
    </cfRule>
  </conditionalFormatting>
  <conditionalFormatting sqref="C181:F181">
    <cfRule type="containsBlanks" dxfId="33" priority="151">
      <formula>LEN(TRIM(C181))=0</formula>
    </cfRule>
  </conditionalFormatting>
  <conditionalFormatting sqref="K186">
    <cfRule type="containsBlanks" dxfId="32" priority="155">
      <formula>LEN(TRIM(K186))=0</formula>
    </cfRule>
  </conditionalFormatting>
  <conditionalFormatting sqref="G181:O181">
    <cfRule type="containsBlanks" dxfId="31" priority="152">
      <formula>LEN(TRIM(G181))=0</formula>
    </cfRule>
  </conditionalFormatting>
  <conditionalFormatting sqref="F190">
    <cfRule type="containsBlanks" dxfId="30" priority="144">
      <formula>LEN(TRIM(F190))=0</formula>
    </cfRule>
  </conditionalFormatting>
  <conditionalFormatting sqref="F191">
    <cfRule type="containsBlanks" dxfId="29" priority="138">
      <formula>LEN(TRIM(F191))=0</formula>
    </cfRule>
  </conditionalFormatting>
  <conditionalFormatting sqref="F192">
    <cfRule type="containsBlanks" dxfId="28" priority="132">
      <formula>LEN(TRIM(F192))=0</formula>
    </cfRule>
  </conditionalFormatting>
  <conditionalFormatting sqref="F193">
    <cfRule type="containsBlanks" dxfId="27" priority="126">
      <formula>LEN(TRIM(F193))=0</formula>
    </cfRule>
  </conditionalFormatting>
  <conditionalFormatting sqref="F194">
    <cfRule type="containsBlanks" dxfId="26" priority="120">
      <formula>LEN(TRIM(F194))=0</formula>
    </cfRule>
  </conditionalFormatting>
  <conditionalFormatting sqref="F195">
    <cfRule type="containsBlanks" dxfId="25" priority="114">
      <formula>LEN(TRIM(F195))=0</formula>
    </cfRule>
  </conditionalFormatting>
  <conditionalFormatting sqref="F196">
    <cfRule type="containsBlanks" dxfId="24" priority="108">
      <formula>LEN(TRIM(F196))=0</formula>
    </cfRule>
  </conditionalFormatting>
  <conditionalFormatting sqref="F197">
    <cfRule type="containsBlanks" dxfId="23" priority="102">
      <formula>LEN(TRIM(F197))=0</formula>
    </cfRule>
  </conditionalFormatting>
  <conditionalFormatting sqref="F198">
    <cfRule type="containsBlanks" dxfId="22" priority="96">
      <formula>LEN(TRIM(F198))=0</formula>
    </cfRule>
  </conditionalFormatting>
  <conditionalFormatting sqref="F199">
    <cfRule type="containsBlanks" dxfId="21" priority="90">
      <formula>LEN(TRIM(F199))=0</formula>
    </cfRule>
  </conditionalFormatting>
  <conditionalFormatting sqref="F200">
    <cfRule type="containsBlanks" dxfId="20" priority="84">
      <formula>LEN(TRIM(F200))=0</formula>
    </cfRule>
  </conditionalFormatting>
  <conditionalFormatting sqref="F201">
    <cfRule type="containsBlanks" dxfId="19" priority="78">
      <formula>LEN(TRIM(F201))=0</formula>
    </cfRule>
  </conditionalFormatting>
  <conditionalFormatting sqref="F202">
    <cfRule type="containsBlanks" dxfId="18" priority="72">
      <formula>LEN(TRIM(F202))=0</formula>
    </cfRule>
  </conditionalFormatting>
  <conditionalFormatting sqref="F203">
    <cfRule type="containsBlanks" dxfId="17" priority="66">
      <formula>LEN(TRIM(F203))=0</formula>
    </cfRule>
  </conditionalFormatting>
  <conditionalFormatting sqref="F204">
    <cfRule type="containsBlanks" dxfId="16" priority="60">
      <formula>LEN(TRIM(F204))=0</formula>
    </cfRule>
  </conditionalFormatting>
  <conditionalFormatting sqref="F205">
    <cfRule type="containsBlanks" dxfId="15" priority="54">
      <formula>LEN(TRIM(F205))=0</formula>
    </cfRule>
  </conditionalFormatting>
  <conditionalFormatting sqref="F206">
    <cfRule type="containsBlanks" dxfId="14" priority="48">
      <formula>LEN(TRIM(F206))=0</formula>
    </cfRule>
  </conditionalFormatting>
  <conditionalFormatting sqref="F207">
    <cfRule type="containsBlanks" dxfId="13" priority="42">
      <formula>LEN(TRIM(F207))=0</formula>
    </cfRule>
  </conditionalFormatting>
  <conditionalFormatting sqref="F208:G208">
    <cfRule type="containsBlanks" dxfId="12" priority="36">
      <formula>LEN(TRIM(F208))=0</formula>
    </cfRule>
  </conditionalFormatting>
  <conditionalFormatting sqref="F209:G209">
    <cfRule type="containsBlanks" dxfId="11" priority="30">
      <formula>LEN(TRIM(F209))=0</formula>
    </cfRule>
  </conditionalFormatting>
  <conditionalFormatting sqref="F210:G210">
    <cfRule type="containsBlanks" dxfId="10" priority="24">
      <formula>LEN(TRIM(F210))=0</formula>
    </cfRule>
  </conditionalFormatting>
  <conditionalFormatting sqref="K187:K207">
    <cfRule type="containsBlanks" dxfId="9" priority="15">
      <formula>LEN(TRIM(K187))=0</formula>
    </cfRule>
  </conditionalFormatting>
  <conditionalFormatting sqref="H187:H207">
    <cfRule type="containsBlanks" dxfId="8" priority="18">
      <formula>LEN(TRIM(H187))=0</formula>
    </cfRule>
  </conditionalFormatting>
  <conditionalFormatting sqref="I187:I207">
    <cfRule type="containsBlanks" dxfId="7" priority="17">
      <formula>LEN(TRIM(I187))=0</formula>
    </cfRule>
  </conditionalFormatting>
  <conditionalFormatting sqref="J187:J207">
    <cfRule type="containsBlanks" dxfId="6" priority="7">
      <formula>LEN(TRIM(J187))=0</formula>
    </cfRule>
  </conditionalFormatting>
  <conditionalFormatting sqref="K208:K210">
    <cfRule type="containsBlanks" dxfId="5" priority="4">
      <formula>LEN(TRIM(K208))=0</formula>
    </cfRule>
  </conditionalFormatting>
  <conditionalFormatting sqref="H208:H210">
    <cfRule type="containsBlanks" dxfId="4" priority="6">
      <formula>LEN(TRIM(H208))=0</formula>
    </cfRule>
  </conditionalFormatting>
  <conditionalFormatting sqref="I208:I210">
    <cfRule type="containsBlanks" dxfId="3" priority="5">
      <formula>LEN(TRIM(I208))=0</formula>
    </cfRule>
  </conditionalFormatting>
  <conditionalFormatting sqref="J208:J210">
    <cfRule type="containsBlanks" dxfId="2" priority="3">
      <formula>LEN(TRIM(J208))=0</formula>
    </cfRule>
  </conditionalFormatting>
  <conditionalFormatting sqref="G186:G207">
    <cfRule type="containsBlanks" dxfId="1" priority="2">
      <formula>LEN(TRIM(G186))=0</formula>
    </cfRule>
  </conditionalFormatting>
  <conditionalFormatting sqref="C186:E206">
    <cfRule type="containsBlanks" dxfId="0" priority="1">
      <formula>LEN(TRIM(C186))=0</formula>
    </cfRule>
  </conditionalFormatting>
  <dataValidations count="14">
    <dataValidation type="list" allowBlank="1" showInputMessage="1" showErrorMessage="1" sqref="E13:F13">
      <formula1>dd_ControlType</formula1>
    </dataValidation>
    <dataValidation allowBlank="1" showInputMessage="1" showErrorMessage="1" error="Please enter a whole number between 1 and 1000." sqref="E172"/>
    <dataValidation type="custom" allowBlank="1" showInputMessage="1" showErrorMessage="1" error="Please enter an appropriate date." sqref="G151:G152">
      <formula1>IF(AND((G151&gt;=DATE(YEAR(TODAY())-7,12,31)),(G152&lt;=DATE(YEAR(TODAY())+7,12,31)),(IF(ISBLANK(G152),TRUE,G151&lt;G152))),TRUE,FALSE)</formula1>
    </dataValidation>
    <dataValidation type="list" allowBlank="1" showInputMessage="1" showErrorMessage="1" sqref="G143:G146">
      <formula1>"X,x"</formula1>
    </dataValidation>
    <dataValidation allowBlank="1" showInputMessage="1" showErrorMessage="1" error="Enter a positive number between 0 and 1000." sqref="H94"/>
    <dataValidation type="whole" allowBlank="1" showInputMessage="1" showErrorMessage="1" error="Please enter a number between 0 and 1000." sqref="F104">
      <formula1>0</formula1>
      <formula2>1000</formula2>
    </dataValidation>
    <dataValidation type="whole" allowBlank="1" showInputMessage="1" showErrorMessage="1" error="Enter a positive number between 0 and 1000." sqref="H93">
      <formula1>0</formula1>
      <formula2>1000</formula2>
    </dataValidation>
    <dataValidation type="list" allowBlank="1" showInputMessage="1" showErrorMessage="1" sqref="I131">
      <formula1>dd_Effective</formula1>
    </dataValidation>
    <dataValidation type="list" allowBlank="1" showInputMessage="1" showErrorMessage="1" sqref="K13:L13">
      <formula1>dd_Frequency</formula1>
    </dataValidation>
    <dataValidation type="list" allowBlank="1" showInputMessage="1" showErrorMessage="1" sqref="H3:O3">
      <formula1>dd_NatureEngage</formula1>
    </dataValidation>
    <dataValidation type="list" allowBlank="1" showInputMessage="1" showErrorMessage="1" sqref="C5">
      <formula1>dd_Language</formula1>
    </dataValidation>
    <dataValidation type="list" allowBlank="1" showInputMessage="1" showErrorMessage="1" sqref="E14:F14 L138 H20 G221 M76:O78 L25:M25">
      <formula1>dd_YesNo</formula1>
    </dataValidation>
    <dataValidation type="list" allowBlank="1" showInputMessage="1" showErrorMessage="1" sqref="L161:M161">
      <formula1>dd_Environ</formula1>
    </dataValidation>
    <dataValidation type="list" allowBlank="1" showInputMessage="1" showErrorMessage="1" sqref="I89">
      <formula1>"dd_InterimYearEnd"</formula1>
    </dataValidation>
  </dataValidations>
  <hyperlinks>
    <hyperlink ref="A186:A187" location="'Financial control'!A82" display="Delete"/>
    <hyperlink ref="A188" location="AHome" display="Del"/>
    <hyperlink ref="A186" location="AHome" display="Del"/>
    <hyperlink ref="A187" location="AHome" display="Del"/>
    <hyperlink ref="A109" location="AHome" display="Del"/>
    <hyperlink ref="A117" location="AHome" display="Del"/>
    <hyperlink ref="A118" location="AHome" display="Del"/>
    <hyperlink ref="A119" location="AHome" display="Del"/>
    <hyperlink ref="A178" location="AHome" display="Del"/>
    <hyperlink ref="A179" location="AHome" display="Del"/>
    <hyperlink ref="A120" location="AHome" display="Del"/>
    <hyperlink ref="A110" location="AHome" display="Del"/>
    <hyperlink ref="A180" location="AHome" display="Del"/>
    <hyperlink ref="A189" location="AHome" display="Del"/>
    <hyperlink ref="A111" location="AHome" display="Del"/>
    <hyperlink ref="A112" location="AHome" display="Add"/>
    <hyperlink ref="H115" location="AHome" display="Del"/>
    <hyperlink ref="I115" location="AHome" display="Del"/>
    <hyperlink ref="J115" location="AHome" display="Del"/>
    <hyperlink ref="K115" location="AHome" display="Del"/>
    <hyperlink ref="L115" location="AHome" display="Add"/>
    <hyperlink ref="H184" location="AHome" display="Del"/>
    <hyperlink ref="I184" location="AHome" display="Del"/>
    <hyperlink ref="J184" location="AHome" display="Del"/>
    <hyperlink ref="K184" location="AHome" display="Add"/>
    <hyperlink ref="A181" location="AHome" display="Add"/>
    <hyperlink ref="A121" location="AHome" display="Add"/>
    <hyperlink ref="A190" location="'Tests of control'!$A$190" display="Del"/>
    <hyperlink ref="A191" location="'Tests of control'!$A$191" display="Del"/>
    <hyperlink ref="A192" location="'Tests of control'!$A$192" display="Del"/>
    <hyperlink ref="A193" location="'Tests of control'!$A$193" display="Del"/>
    <hyperlink ref="A194" location="'Tests of control'!$A$194" display="Del"/>
    <hyperlink ref="A195" location="'Tests of control'!$A$195" display="Del"/>
    <hyperlink ref="A196" location="'Tests of control'!$A$196" display="Del"/>
    <hyperlink ref="A197" location="'Tests of control'!$A$197" display="Del"/>
    <hyperlink ref="A198" location="'Tests of control'!$A$198" display="Del"/>
    <hyperlink ref="A199" location="'Tests of control'!$A$199" display="Del"/>
    <hyperlink ref="A200" location="'Tests of control'!$A$200" display="Del"/>
    <hyperlink ref="A201" location="'Tests of control'!$A$201" display="Del"/>
    <hyperlink ref="A202" location="'Tests of control'!$A$202" display="Del"/>
    <hyperlink ref="A203" location="'Tests of control'!$A$203" display="Del"/>
    <hyperlink ref="A204" location="'Tests of control'!$A$204" display="Del"/>
    <hyperlink ref="A205" location="'Tests of control'!$A$205" display="Del"/>
    <hyperlink ref="A206" location="'Tests of control'!$A$206" display="Del"/>
    <hyperlink ref="A207" location="'Tests of control'!$A$207" display="Del"/>
    <hyperlink ref="A208" location="'Tests of control'!$A$208" display="Del"/>
    <hyperlink ref="A209" location="'Tests of control'!$A$209" display="Del"/>
    <hyperlink ref="A210" location="'Tests of control'!$A$210" display="Add"/>
  </hyperlinks>
  <pageMargins left="0.5" right="0.5" top="1" bottom="0.5" header="0.3" footer="0.3"/>
  <pageSetup scale="74" fitToHeight="0" orientation="landscape" cellComments="asDisplayed" r:id="rId1"/>
  <headerFooter differentOddEven="1" differentFirst="1" scaleWithDoc="0" alignWithMargins="0">
    <oddHeader>&amp;L&amp;"EYInterstate Light,Bold"&amp;9&amp;UPM 8.4.1C: Activity 4: Test of control form</oddHeader>
    <oddFooter>&amp;L&amp;"EYInterstate Light,Regular"&amp;9Page &amp;P of &amp;N
© 2017 EYGM Limited&amp;R&amp;"EYInterstate Light,Regular"&amp;9The Audit Academy
Expedition Audit</oddFooter>
    <evenHeader>&amp;R&amp;"EYInterstate Light,Bold"&amp;9&amp;UPM 8.4.1C: Activity 4: Test of control form</evenHeader>
    <evenFooter>&amp;L&amp;"EYInterstate Light,Regular"&amp;9Page &amp;P of &amp;N
© 2017 EYGM Limited&amp;R&amp;"EYInterstate Light,Regular"&amp;9The Audit Academy
Expedition Audit</evenFooter>
    <firstHeader>&amp;L&amp;"EYInterstate Light,Bold"&amp;16Participant Material (PM) 8.4.1C: Accounts Payable - Executing tests of control
Activity 4: Tests of control form</firstHeader>
    <firstFooter>&amp;L&amp;"EYInterstate Light,Regular"&amp;9Page &amp;P of &amp;N
© 2019 EYGM Limited&amp;R&amp;"EYInterstate Light,Regular"&amp;9The Audit Academy
Expedition Audit</firstFooter>
  </headerFooter>
  <rowBreaks count="1" manualBreakCount="1">
    <brk id="164" max="16383" man="1"/>
  </rowBreaks>
  <drawing r:id="rId2"/>
  <extLst>
    <ext xmlns:x14="http://schemas.microsoft.com/office/spreadsheetml/2009/9/main" uri="{CCE6A557-97BC-4b89-ADB6-D9C93CAAB3DF}">
      <x14:dataValidations xmlns:xm="http://schemas.microsoft.com/office/excel/2006/main" count="8">
        <x14:dataValidation type="list" operator="equal" allowBlank="1" showInputMessage="1" showErrorMessage="1">
          <x14:formula1>
            <xm:f>Translation!$B$224:$B$225</xm:f>
          </x14:formula1>
          <xm:sqref>H245 K25 G20 D14 H241:H242 F221 F157:F159 K138 K99 H132 F135 F85 L76:L78 F39</xm:sqref>
        </x14:dataValidation>
        <x14:dataValidation type="list" operator="equal" allowBlank="1" showInputMessage="1" showErrorMessage="1">
          <x14:formula1>
            <xm:f>Translation!$B$255:$B$256</xm:f>
          </x14:formula1>
          <xm:sqref>G150 H89</xm:sqref>
        </x14:dataValidation>
        <x14:dataValidation type="list" operator="equal" allowBlank="1" showInputMessage="1" showErrorMessage="1">
          <x14:formula1>
            <xm:f>Translation!$B$239:$B$240</xm:f>
          </x14:formula1>
          <xm:sqref>C3</xm:sqref>
        </x14:dataValidation>
        <x14:dataValidation type="list" operator="equal" allowBlank="1" showInputMessage="1" showErrorMessage="1">
          <x14:formula1>
            <xm:f>Translation!$B$226:$B$227</xm:f>
          </x14:formula1>
          <xm:sqref>G249 H131</xm:sqref>
        </x14:dataValidation>
        <x14:dataValidation type="list" operator="equal" allowBlank="1" showInputMessage="1" showErrorMessage="1">
          <x14:formula1>
            <xm:f>Translation!$B$241:$B$243</xm:f>
          </x14:formula1>
          <xm:sqref>G3</xm:sqref>
        </x14:dataValidation>
        <x14:dataValidation type="list" operator="equal" allowBlank="1" showInputMessage="1" showErrorMessage="1">
          <x14:formula1>
            <xm:f>Translation!$B$244:$B$247</xm:f>
          </x14:formula1>
          <xm:sqref>D13</xm:sqref>
        </x14:dataValidation>
        <x14:dataValidation type="list" operator="equal" allowBlank="1" showInputMessage="1" showErrorMessage="1">
          <x14:formula1>
            <xm:f>Translation!$B$257:$B$258</xm:f>
          </x14:formula1>
          <xm:sqref>K161</xm:sqref>
        </x14:dataValidation>
        <x14:dataValidation type="list" operator="equal" allowBlank="1" showInputMessage="1" showErrorMessage="1">
          <x14:formula1>
            <xm:f>Translation!$B$248:$B$254</xm:f>
          </x14:formula1>
          <xm:sqref>J13</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m36b233319544d999b8f04858985d3e8 xmlns="35818088-e62d-4edf-bbb6-409430aef268">
      <Terms xmlns="http://schemas.microsoft.com/office/infopath/2007/PartnerControls"/>
    </m36b233319544d999b8f04858985d3e8>
    <EYArchiveStrategyDate xmlns="35818088-e62d-4edf-bbb6-409430aef268" xsi:nil="true"/>
    <EYAbstract xmlns="35818088-e62d-4edf-bbb6-409430aef268">Number of errors of the producer:
Number of errors of the tool:
Number of additional edits:
</EYAbstract>
    <CMS_AssignedSMR xmlns="http://schemas.microsoft.com/sharepoint/v3">
      <UserInfo>
        <DisplayName/>
        <AccountId xsi:nil="true"/>
        <AccountType/>
      </UserInfo>
    </CMS_AssignedSMR>
    <CMS_DueDate xmlns="http://schemas.microsoft.com/sharepoint/v3">2016-07-28T22:00:00+00:00</CMS_DueDate>
    <EYExtranetPublication xmlns="35818088-e62d-4edf-bbb6-409430aef268">false</EYExtranetPublication>
    <n1dab9d6d8664732849b7aaffb48fb18 xmlns="47e0d157-5edd-4516-8980-cd293346d4df">
      <Terms xmlns="http://schemas.microsoft.com/office/infopath/2007/PartnerControls"/>
    </n1dab9d6d8664732849b7aaffb48fb18>
    <EYEYOnly xmlns="35818088-e62d-4edf-bbb6-409430aef268">false</EYEYOnly>
    <m33678f12b5049c39a1c696686f3f70e xmlns="35818088-e62d-4edf-bbb6-409430aef268">
      <Terms xmlns="http://schemas.microsoft.com/office/infopath/2007/PartnerControls"/>
    </m33678f12b5049c39a1c696686f3f70e>
    <k8128b1c45734e36a24fce652bc7ffb7 xmlns="35818088-e62d-4edf-bbb6-409430aef268">
      <Terms xmlns="http://schemas.microsoft.com/office/infopath/2007/PartnerControls">
        <TermInfo xmlns="http://schemas.microsoft.com/office/infopath/2007/PartnerControls">
          <TermName xmlns="http://schemas.microsoft.com/office/infopath/2007/PartnerControls">Assurance</TermName>
          <TermId xmlns="http://schemas.microsoft.com/office/infopath/2007/PartnerControls">76b54a0b-7f4f-49fd-b06a-9c34f75cde61</TermId>
        </TermInfo>
      </Terms>
    </k8128b1c45734e36a24fce652bc7ffb7>
    <EYSubmittedBy xmlns="47e0d157-5edd-4516-8980-cd293346d4df">
      <UserInfo>
        <DisplayName>Carrie A Roose</DisplayName>
        <AccountId>2420</AccountId>
        <AccountType/>
      </UserInfo>
    </EYSubmittedBy>
    <e0e024ccac5240e69ae9c38a41bfa7a5 xmlns="35818088-e62d-4edf-bbb6-409430aef268">
      <Terms xmlns="http://schemas.microsoft.com/office/infopath/2007/PartnerControls"/>
    </e0e024ccac5240e69ae9c38a41bfa7a5>
    <DocumentSetDescription xmlns="http://schemas.microsoft.com/sharepoint/v3" xsi:nil="true"/>
    <TaxCatchAll xmlns="35818088-e62d-4edf-bbb6-409430aef268">
      <Value>28</Value>
    </TaxCatchAll>
    <EYCopyright xmlns="35818088-e62d-4edf-bbb6-409430aef268" xsi:nil="true"/>
    <ExternalSource xmlns="585fc143-f117-4e5a-820b-3ccdc931e660" xsi:nil="true"/>
    <EYMajorPubDate xmlns="35818088-e62d-4edf-bbb6-409430aef268" xsi:nil="true"/>
    <b4187e12891e46deb4d240a4b28bdb90 xmlns="35818088-e62d-4edf-bbb6-409430aef268">
      <Terms xmlns="http://schemas.microsoft.com/office/infopath/2007/PartnerControls"/>
    </b4187e12891e46deb4d240a4b28bdb90>
    <CMS_G360AcctTaxHTField0 xmlns="47e0d157-5edd-4516-8980-cd293346d4df">
      <Terms xmlns="http://schemas.microsoft.com/office/infopath/2007/PartnerControls"/>
    </CMS_G360AcctTaxHTField0>
    <jb27e7913892463ea3962391e5e5bf6b xmlns="47e0d157-5edd-4516-8980-cd293346d4df">
      <Terms xmlns="http://schemas.microsoft.com/office/infopath/2007/PartnerControls"/>
    </jb27e7913892463ea3962391e5e5bf6b>
    <EYScoreNo xmlns="35818088-e62d-4edf-bbb6-409430aef268" xsi:nil="true"/>
    <EYArchiveStrategy xmlns="35818088-e62d-4edf-bbb6-409430aef268" xsi:nil="true"/>
    <i8aa7114bb7641bd86d3a4ccb4853306 xmlns="35818088-e62d-4edf-bbb6-409430aef268">
      <Terms xmlns="http://schemas.microsoft.com/office/infopath/2007/PartnerControls"/>
    </i8aa7114bb7641bd86d3a4ccb4853306>
    <EYRelatedItems xmlns="35818088-e62d-4edf-bbb6-409430aef268" xsi:nil="true"/>
    <jc981bd8ab5b47fd91abb7684c0f405b xmlns="35818088-e62d-4edf-bbb6-409430aef268">
      <Terms xmlns="http://schemas.microsoft.com/office/infopath/2007/PartnerControls"/>
    </jc981bd8ab5b47fd91abb7684c0f405b>
    <EYContact xmlns="35818088-e62d-4edf-bbb6-409430aef268">
      <UserInfo>
        <DisplayName>Carrie A Roose</DisplayName>
        <AccountId>2420</AccountId>
        <AccountType/>
      </UserInfo>
    </EYContact>
    <EYEYAuthors xmlns="35818088-e62d-4edf-bbb6-409430aef268">
      <UserInfo>
        <DisplayName/>
        <AccountId xsi:nil="true"/>
        <AccountType/>
      </UserInfo>
    </EYEYAuthors>
    <TaxKeywordTaxHTField xmlns="35818088-e62d-4edf-bbb6-409430aef268">
      <Terms xmlns="http://schemas.microsoft.com/office/infopath/2007/PartnerControls"/>
    </TaxKeywordTaxHTField>
    <dc12c0fcbaa8400483ae8258ed61b8c8 xmlns="35818088-e62d-4edf-bbb6-409430aef268">
      <Terms xmlns="http://schemas.microsoft.com/office/infopath/2007/PartnerControls"/>
    </dc12c0fcbaa8400483ae8258ed61b8c8>
    <CMS_BusinessApprover xmlns="http://schemas.microsoft.com/sharepoint/v3">
      <UserInfo>
        <DisplayName/>
        <AccountId xsi:nil="true"/>
        <AccountType/>
      </UserInfo>
    </CMS_BusinessApprover>
    <CMS_RequestTitle xmlns="http://schemas.microsoft.com/sharepoint/v3">Global25: / GASMI / Form updates (283, 201, 313, 264, 280, 102)</CMS_RequestTitle>
    <Classification_x0020_Status xmlns="35818088-e62d-4edf-bbb6-409430aef268" xsi:nil="true"/>
    <m40646091deb497cae255654379362dd xmlns="35818088-e62d-4edf-bbb6-409430aef268">
      <Terms xmlns="http://schemas.microsoft.com/office/infopath/2007/PartnerControls"/>
    </m40646091deb497cae255654379362dd>
    <CMS_ContComments xmlns="http://schemas.microsoft.com/sharepoint/v3" xsi:nil="true"/>
    <i14ea8bbd518495ea0e20ac1ad18c527 xmlns="35818088-e62d-4edf-bbb6-409430aef268">
      <Terms xmlns="http://schemas.microsoft.com/office/infopath/2007/PartnerControls"/>
    </i14ea8bbd518495ea0e20ac1ad18c527>
    <CMS_OtherClientName xmlns="3f12cc7f-0bc4-4a05-82ca-c9d667662d02" xsi:nil="true"/>
    <CMS_ContentStatus xmlns="3f12cc7f-0bc4-4a05-82ca-c9d667662d02">New</CMS_ContentStatus>
    <CMS_EstCompletionDate xmlns="3f12cc7f-0bc4-4a05-82ca-c9d667662d02">2016-07-28T22:00:00+00:00</CMS_EstCompletionDate>
  </documentManagement>
</p:properties>
</file>

<file path=customXml/item2.xml><?xml version="1.0" encoding="utf-8"?>
<?mso-contentType ?>
<SharedContentType xmlns="Microsoft.SharePoint.Taxonomy.ContentTypeSync" SourceId="9cc9f4e4-efc4-4954-9a3a-92fa8d4fa5d0" ContentTypeId="0x010100826318CDA76982469C2C3CD2CD5847410200FE50EC723BBB4EE093E11CAD7ADFFF7A" PreviousValue="false"/>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ct:contentTypeSchema xmlns:ct="http://schemas.microsoft.com/office/2006/metadata/contentType" xmlns:ma="http://schemas.microsoft.com/office/2006/metadata/properties/metaAttributes" ct:_="" ma:_="" ma:contentTypeName="EY Share Knowledge Document" ma:contentTypeID="0x010100826318CDA76982469C2C3CD2CD5847410200FE50EC723BBB4EE093E11CAD7ADFFF7A000040E8C38871462A86BBC6C3AF09C974000562FD3363F89B4DB54DF80271368564" ma:contentTypeVersion="15" ma:contentTypeDescription="Document Content Type" ma:contentTypeScope="" ma:versionID="43d8450f1154e9631eb8050e127d2872">
  <xsd:schema xmlns:xsd="http://www.w3.org/2001/XMLSchema" xmlns:xs="http://www.w3.org/2001/XMLSchema" xmlns:p="http://schemas.microsoft.com/office/2006/metadata/properties" xmlns:ns1="http://schemas.microsoft.com/sharepoint/v3" xmlns:ns2="35818088-e62d-4edf-bbb6-409430aef268" xmlns:ns3="585fc143-f117-4e5a-820b-3ccdc931e660" xmlns:ns4="3f12cc7f-0bc4-4a05-82ca-c9d667662d02" xmlns:ns5="47e0d157-5edd-4516-8980-cd293346d4df" targetNamespace="http://schemas.microsoft.com/office/2006/metadata/properties" ma:root="true" ma:fieldsID="fc638ee3d403fd46ee3902561086857e" ns1:_="" ns2:_="" ns3:_="" ns4:_="" ns5:_="">
    <xsd:import namespace="http://schemas.microsoft.com/sharepoint/v3"/>
    <xsd:import namespace="35818088-e62d-4edf-bbb6-409430aef268"/>
    <xsd:import namespace="585fc143-f117-4e5a-820b-3ccdc931e660"/>
    <xsd:import namespace="3f12cc7f-0bc4-4a05-82ca-c9d667662d02"/>
    <xsd:import namespace="47e0d157-5edd-4516-8980-cd293346d4df"/>
    <xsd:element name="properties">
      <xsd:complexType>
        <xsd:sequence>
          <xsd:element name="documentManagement">
            <xsd:complexType>
              <xsd:all>
                <xsd:element ref="ns2:i14ea8bbd518495ea0e20ac1ad18c527" minOccurs="0"/>
                <xsd:element ref="ns2:TaxCatchAll" minOccurs="0"/>
                <xsd:element ref="ns2:TaxCatchAllLabel" minOccurs="0"/>
                <xsd:element ref="ns2:k8128b1c45734e36a24fce652bc7ffb7" minOccurs="0"/>
                <xsd:element ref="ns2:jc981bd8ab5b47fd91abb7684c0f405b" minOccurs="0"/>
                <xsd:element ref="ns2:b4187e12891e46deb4d240a4b28bdb90" minOccurs="0"/>
                <xsd:element ref="ns2:ClassificationDataNoteField" minOccurs="0"/>
                <xsd:element ref="ns2:Classification_x0020_Status" minOccurs="0"/>
                <xsd:element ref="ns3:ExternalSource" minOccurs="0"/>
                <xsd:element ref="ns2:EYCopyright" minOccurs="0"/>
                <xsd:element ref="ns2:EYArchiveStrategy" minOccurs="0"/>
                <xsd:element ref="ns2:EYArchiveStrategyDate" minOccurs="0"/>
                <xsd:element ref="ns2:EYMajorPubDate" minOccurs="0"/>
                <xsd:element ref="ns2:EYScoreNo" minOccurs="0"/>
                <xsd:element ref="ns2:EYAbstract" minOccurs="0"/>
                <xsd:element ref="ns2:EYContact" minOccurs="0"/>
                <xsd:element ref="ns2:EYEYAuthors" minOccurs="0"/>
                <xsd:element ref="ns2:EYExtranetPublication"/>
                <xsd:element ref="ns2:EYEYOnly"/>
                <xsd:element ref="ns2:m33678f12b5049c39a1c696686f3f70e" minOccurs="0"/>
                <xsd:element ref="ns2:i8aa7114bb7641bd86d3a4ccb4853306" minOccurs="0"/>
                <xsd:element ref="ns2:m36b233319544d999b8f04858985d3e8" minOccurs="0"/>
                <xsd:element ref="ns2:m40646091deb497cae255654379362dd" minOccurs="0"/>
                <xsd:element ref="ns2:e0e024ccac5240e69ae9c38a41bfa7a5" minOccurs="0"/>
                <xsd:element ref="ns2:TaxKeywordTaxHTField" minOccurs="0"/>
                <xsd:element ref="ns2:EYRelatedItems" minOccurs="0"/>
                <xsd:element ref="ns2:dc12c0fcbaa8400483ae8258ed61b8c8" minOccurs="0"/>
                <xsd:element ref="ns1:CMS_BusinessApprover" minOccurs="0"/>
                <xsd:element ref="ns4:CMS_ContentStatus" minOccurs="0"/>
                <xsd:element ref="ns5:CMS_G360AcctTaxHTField0" minOccurs="0"/>
                <xsd:element ref="ns4:CMS_OtherClientName" minOccurs="0"/>
                <xsd:element ref="ns1:CMS_ContComments" minOccurs="0"/>
                <xsd:element ref="ns1:DocumentSetDescription" minOccurs="0"/>
                <xsd:element ref="ns5:EYSubmittedBy" minOccurs="0"/>
                <xsd:element ref="ns1:CMS_AssignedSMR" minOccurs="0"/>
                <xsd:element ref="ns4:CMS_EstCompletionDate" minOccurs="0"/>
                <xsd:element ref="ns1:CMS_DueDate" minOccurs="0"/>
                <xsd:element ref="ns1:CMS_RequestTitle" minOccurs="0"/>
                <xsd:element ref="ns5:n1dab9d6d8664732849b7aaffb48fb18" minOccurs="0"/>
                <xsd:element ref="ns5:jb27e7913892463ea3962391e5e5bf6b"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CMS_BusinessApprover" ma:index="46" nillable="true" ma:displayName="Business Approver" ma:list="UserInfo" ma:SharePointGroup="0" ma:internalName="CMS_BusinessApprover"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MS_ContComments" ma:index="51" nillable="true" ma:displayName="Comments" ma:internalName="CMS_ContComments">
      <xsd:simpleType>
        <xsd:restriction base="dms:Note">
          <xsd:maxLength value="255"/>
        </xsd:restriction>
      </xsd:simpleType>
    </xsd:element>
    <xsd:element name="DocumentSetDescription" ma:index="52" nillable="true" ma:displayName="Description" ma:description="A description of the Document Set" ma:internalName="DocumentSetDescription">
      <xsd:simpleType>
        <xsd:restriction base="dms:Note"/>
      </xsd:simpleType>
    </xsd:element>
    <xsd:element name="CMS_AssignedSMR" ma:index="54" nillable="true" ma:displayName="SMR" ma:description="Subject Matter Reviewer for Field requests" ma:hidden="true" ma:internalName="CMS_AssignedSMR" ma:readOnly="fals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MS_DueDate" ma:index="56" nillable="true" ma:displayName="Due Date" ma:format="DateOnly" ma:internalName="CMS_DueDate">
      <xsd:simpleType>
        <xsd:restriction base="dms:DateTime"/>
      </xsd:simpleType>
    </xsd:element>
    <xsd:element name="CMS_RequestTitle" ma:index="57" nillable="true" ma:displayName="Request Title" ma:internalName="CMS_RequestTitle">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35818088-e62d-4edf-bbb6-409430aef268" elementFormDefault="qualified">
    <xsd:import namespace="http://schemas.microsoft.com/office/2006/documentManagement/types"/>
    <xsd:import namespace="http://schemas.microsoft.com/office/infopath/2007/PartnerControls"/>
    <xsd:element name="i14ea8bbd518495ea0e20ac1ad18c527" ma:index="8" ma:taxonomy="true" ma:internalName="i14ea8bbd518495ea0e20ac1ad18c527" ma:taxonomyFieldName="EYContentType" ma:displayName="EY Content Type" ma:readOnly="false" ma:default="" ma:fieldId="{214ea8bb-d518-495e-a0e2-0ac1ad18c527}" ma:sspId="9cc9f4e4-efc4-4954-9a3a-92fa8d4fa5d0" ma:termSetId="6505b3fe-eead-400a-9754-f8a94624a621" ma:anchorId="00000000-0000-0000-0000-000000000000" ma:open="false" ma:isKeyword="false">
      <xsd:complexType>
        <xsd:sequence>
          <xsd:element ref="pc:Terms" minOccurs="0" maxOccurs="1"/>
        </xsd:sequence>
      </xsd:complexType>
    </xsd:element>
    <xsd:element name="TaxCatchAll" ma:index="9" nillable="true" ma:displayName="Taxonomy Catch All Column" ma:hidden="true" ma:list="{4c04d926-9ba8-48a8-a113-e114f28512b3}" ma:internalName="TaxCatchAll" ma:showField="CatchAllData" ma:web="47e0d157-5edd-4516-8980-cd293346d4df">
      <xsd:complexType>
        <xsd:complexContent>
          <xsd:extension base="dms:MultiChoiceLookup">
            <xsd:sequence>
              <xsd:element name="Value" type="dms:Lookup" maxOccurs="unbounded" minOccurs="0" nillable="true"/>
            </xsd:sequence>
          </xsd:extension>
        </xsd:complexContent>
      </xsd:complexType>
    </xsd:element>
    <xsd:element name="TaxCatchAllLabel" ma:index="10" nillable="true" ma:displayName="Taxonomy Catch All Column1" ma:hidden="true" ma:list="{4c04d926-9ba8-48a8-a113-e114f28512b3}" ma:internalName="TaxCatchAllLabel" ma:readOnly="true" ma:showField="CatchAllDataLabel" ma:web="47e0d157-5edd-4516-8980-cd293346d4df">
      <xsd:complexType>
        <xsd:complexContent>
          <xsd:extension base="dms:MultiChoiceLookup">
            <xsd:sequence>
              <xsd:element name="Value" type="dms:Lookup" maxOccurs="unbounded" minOccurs="0" nillable="true"/>
            </xsd:sequence>
          </xsd:extension>
        </xsd:complexContent>
      </xsd:complexType>
    </xsd:element>
    <xsd:element name="k8128b1c45734e36a24fce652bc7ffb7" ma:index="12" ma:taxonomy="true" ma:internalName="k8128b1c45734e36a24fce652bc7ffb7" ma:taxonomyFieldName="ServiceLineFunction" ma:displayName="Service Line / Function" ma:default="" ma:fieldId="{48128b1c-4573-4e36-a24f-ce652bc7ffb7}" ma:taxonomyMulti="true" ma:sspId="9cc9f4e4-efc4-4954-9a3a-92fa8d4fa5d0" ma:termSetId="a54bfafd-6ceb-41d3-a4cd-e00da9f478ef" ma:anchorId="00000000-0000-0000-0000-000000000000" ma:open="false" ma:isKeyword="false">
      <xsd:complexType>
        <xsd:sequence>
          <xsd:element ref="pc:Terms" minOccurs="0" maxOccurs="1"/>
        </xsd:sequence>
      </xsd:complexType>
    </xsd:element>
    <xsd:element name="jc981bd8ab5b47fd91abb7684c0f405b" ma:index="14" ma:taxonomy="true" ma:internalName="jc981bd8ab5b47fd91abb7684c0f405b" ma:taxonomyFieldName="GeographicApplicability" ma:displayName="Geographic Applicability" ma:readOnly="false" ma:default="" ma:fieldId="{3c981bd8-ab5b-47fd-91ab-b7684c0f405b}" ma:taxonomyMulti="true" ma:sspId="9cc9f4e4-efc4-4954-9a3a-92fa8d4fa5d0" ma:termSetId="d4205efd-bf5c-4aee-a8ac-d84b5a7eb933" ma:anchorId="00000000-0000-0000-0000-000000000000" ma:open="false" ma:isKeyword="false">
      <xsd:complexType>
        <xsd:sequence>
          <xsd:element ref="pc:Terms" minOccurs="0" maxOccurs="1"/>
        </xsd:sequence>
      </xsd:complexType>
    </xsd:element>
    <xsd:element name="b4187e12891e46deb4d240a4b28bdb90" ma:index="16" nillable="true" ma:taxonomy="true" ma:internalName="b4187e12891e46deb4d240a4b28bdb90" ma:taxonomyFieldName="ContentLanguage" ma:displayName="Content Language" ma:readOnly="false" ma:default="" ma:fieldId="{b4187e12-891e-46de-b4d2-40a4b28bdb90}" ma:taxonomyMulti="true" ma:sspId="9cc9f4e4-efc4-4954-9a3a-92fa8d4fa5d0" ma:termSetId="de7f4a9f-9315-4ba0-93d7-d7d3ca1129ab" ma:anchorId="00000000-0000-0000-0000-000000000000" ma:open="false" ma:isKeyword="false">
      <xsd:complexType>
        <xsd:sequence>
          <xsd:element ref="pc:Terms" minOccurs="0" maxOccurs="1"/>
        </xsd:sequence>
      </xsd:complexType>
    </xsd:element>
    <xsd:element name="ClassificationDataNoteField" ma:index="18" nillable="true" ma:displayName="ClassificationDataNoteField" ma:internalName="ClassificationDataNoteField" ma:readOnly="true">
      <xsd:simpleType>
        <xsd:restriction base="dms:Note"/>
      </xsd:simpleType>
    </xsd:element>
    <xsd:element name="Classification_x0020_Status" ma:index="19" nillable="true" ma:displayName="Classification Status" ma:internalName="Classification_x0020_Status" ma:readOnly="false">
      <xsd:simpleType>
        <xsd:restriction base="dms:Note"/>
      </xsd:simpleType>
    </xsd:element>
    <xsd:element name="EYCopyright" ma:index="21" nillable="true" ma:displayName="Copyright" ma:internalName="EYCopyright">
      <xsd:simpleType>
        <xsd:restriction base="dms:Text"/>
      </xsd:simpleType>
    </xsd:element>
    <xsd:element name="EYArchiveStrategy" ma:index="22" nillable="true" ma:displayName="Archive Strategy" ma:format="Dropdown" ma:internalName="EYArchiveStrategy">
      <xsd:simpleType>
        <xsd:restriction base="dms:Choice">
          <xsd:enumeration value="Review By"/>
          <xsd:enumeration value="Expire By"/>
        </xsd:restriction>
      </xsd:simpleType>
    </xsd:element>
    <xsd:element name="EYArchiveStrategyDate" ma:index="23" nillable="true" ma:displayName="Archive Strategy Date" ma:format="DateOnly" ma:internalName="EYArchiveStrategyDate">
      <xsd:simpleType>
        <xsd:restriction base="dms:DateTime"/>
      </xsd:simpleType>
    </xsd:element>
    <xsd:element name="EYMajorPubDate" ma:index="24" nillable="true" ma:displayName="Major Publication Date" ma:format="DateOnly" ma:internalName="EYMajorPubDate">
      <xsd:simpleType>
        <xsd:restriction base="dms:DateTime"/>
      </xsd:simpleType>
    </xsd:element>
    <xsd:element name="EYScoreNo" ma:index="25" nillable="true" ma:displayName="SCORE No." ma:internalName="EYScoreNo">
      <xsd:simpleType>
        <xsd:restriction base="dms:Text">
          <xsd:maxLength value="255"/>
        </xsd:restriction>
      </xsd:simpleType>
    </xsd:element>
    <xsd:element name="EYAbstract" ma:index="26" nillable="true" ma:displayName="Abstract" ma:internalName="EYAbstract">
      <xsd:simpleType>
        <xsd:restriction base="dms:Note"/>
      </xsd:simpleType>
    </xsd:element>
    <xsd:element name="EYContact" ma:index="27" nillable="true" ma:displayName="Contact" ma:list="UserInfo" ma:SharePointGroup="0" ma:internalName="EYContact"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EYEYAuthors" ma:index="28" nillable="true" ma:displayName="EY Authors" ma:description="Identify the authors of this file" ma:SharePointGroup="0" ma:internalName="EYEYAuthors" ma:showField="ImnNam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EYExtranetPublication" ma:index="29" ma:displayName="For Extranet Publication" ma:default="0" ma:internalName="EYExtranetPublication" ma:readOnly="false">
      <xsd:simpleType>
        <xsd:restriction base="dms:Boolean"/>
      </xsd:simpleType>
    </xsd:element>
    <xsd:element name="EYEYOnly" ma:index="30" ma:displayName="EY Only" ma:default="1" ma:internalName="EYEYOnly" ma:readOnly="false">
      <xsd:simpleType>
        <xsd:restriction base="dms:Boolean"/>
      </xsd:simpleType>
    </xsd:element>
    <xsd:element name="m33678f12b5049c39a1c696686f3f70e" ma:index="31" nillable="true" ma:taxonomy="true" ma:internalName="m33678f12b5049c39a1c696686f3f70e" ma:taxonomyFieldName="EYIssues" ma:displayName="Solution/Integrated Offering" ma:fieldId="{633678f1-2b50-49c3-9a1c-696686f3f70e}" ma:taxonomyMulti="true" ma:sspId="9cc9f4e4-efc4-4954-9a3a-92fa8d4fa5d0" ma:termSetId="239b5997-633a-4b4b-9814-25ca4115df09" ma:anchorId="00000000-0000-0000-0000-000000000000" ma:open="false" ma:isKeyword="false">
      <xsd:complexType>
        <xsd:sequence>
          <xsd:element ref="pc:Terms" minOccurs="0" maxOccurs="1"/>
        </xsd:sequence>
      </xsd:complexType>
    </xsd:element>
    <xsd:element name="i8aa7114bb7641bd86d3a4ccb4853306" ma:index="33" nillable="true" ma:taxonomy="true" ma:internalName="i8aa7114bb7641bd86d3a4ccb4853306" ma:taxonomyFieldName="EYMarketSegment" ma:displayName="Market Segment" ma:fieldId="{28aa7114-bb76-41bd-86d3-a4ccb4853306}" ma:taxonomyMulti="true" ma:sspId="9cc9f4e4-efc4-4954-9a3a-92fa8d4fa5d0" ma:termSetId="32a424d6-4e64-4b6e-858a-4c0b995c8a2e" ma:anchorId="00000000-0000-0000-0000-000000000000" ma:open="false" ma:isKeyword="false">
      <xsd:complexType>
        <xsd:sequence>
          <xsd:element ref="pc:Terms" minOccurs="0" maxOccurs="1"/>
        </xsd:sequence>
      </xsd:complexType>
    </xsd:element>
    <xsd:element name="m36b233319544d999b8f04858985d3e8" ma:index="35" nillable="true" ma:taxonomy="true" ma:internalName="m36b233319544d999b8f04858985d3e8" ma:taxonomyFieldName="EYTargetAudience" ma:displayName="Target Audience" ma:fieldId="{636b2333-1954-4d99-9b8f-04858985d3e8}" ma:taxonomyMulti="true" ma:sspId="9cc9f4e4-efc4-4954-9a3a-92fa8d4fa5d0" ma:termSetId="246796d0-1317-4a0f-adb0-812a08744b49" ma:anchorId="00000000-0000-0000-0000-000000000000" ma:open="false" ma:isKeyword="false">
      <xsd:complexType>
        <xsd:sequence>
          <xsd:element ref="pc:Terms" minOccurs="0" maxOccurs="1"/>
        </xsd:sequence>
      </xsd:complexType>
    </xsd:element>
    <xsd:element name="m40646091deb497cae255654379362dd" ma:index="37" nillable="true" ma:taxonomy="true" ma:internalName="m40646091deb497cae255654379362dd" ma:taxonomyFieldName="EYEndorsement" ma:displayName="Endorsement" ma:fieldId="{64064609-1deb-497c-ae25-5654379362dd}" ma:taxonomyMulti="true" ma:sspId="9cc9f4e4-efc4-4954-9a3a-92fa8d4fa5d0" ma:termSetId="a17caa84-b9d1-4098-a3de-cadb1307e722" ma:anchorId="00000000-0000-0000-0000-000000000000" ma:open="false" ma:isKeyword="false">
      <xsd:complexType>
        <xsd:sequence>
          <xsd:element ref="pc:Terms" minOccurs="0" maxOccurs="1"/>
        </xsd:sequence>
      </xsd:complexType>
    </xsd:element>
    <xsd:element name="e0e024ccac5240e69ae9c38a41bfa7a5" ma:index="39" nillable="true" ma:taxonomy="true" ma:internalName="e0e024ccac5240e69ae9c38a41bfa7a5" ma:taxonomyFieldName="Sector" ma:displayName="Sector" ma:default="" ma:fieldId="{e0e024cc-ac52-40e6-9ae9-c38a41bfa7a5}" ma:taxonomyMulti="true" ma:sspId="9cc9f4e4-efc4-4954-9a3a-92fa8d4fa5d0" ma:termSetId="a2f97da7-e69b-4e00-a045-c556c68352c3" ma:anchorId="00000000-0000-0000-0000-000000000000" ma:open="false" ma:isKeyword="false">
      <xsd:complexType>
        <xsd:sequence>
          <xsd:element ref="pc:Terms" minOccurs="0" maxOccurs="1"/>
        </xsd:sequence>
      </xsd:complexType>
    </xsd:element>
    <xsd:element name="TaxKeywordTaxHTField" ma:index="41" nillable="true" ma:taxonomy="true" ma:internalName="TaxKeywordTaxHTField" ma:taxonomyFieldName="TaxKeyword" ma:displayName="Enterprise Keywords" ma:fieldId="{23f27201-bee3-471e-b2e7-b64fd8b7ca38}" ma:taxonomyMulti="true" ma:sspId="00000000-0000-0000-0000-000000000000" ma:termSetId="00000000-0000-0000-0000-000000000000" ma:anchorId="00000000-0000-0000-0000-000000000000" ma:open="true" ma:isKeyword="true">
      <xsd:complexType>
        <xsd:sequence>
          <xsd:element ref="pc:Terms" minOccurs="0" maxOccurs="1"/>
        </xsd:sequence>
      </xsd:complexType>
    </xsd:element>
    <xsd:element name="EYRelatedItems" ma:index="43" nillable="true" ma:displayName="Related Items" ma:internalName="EYRelatedItems">
      <xsd:simpleType>
        <xsd:restriction base="dms:Note"/>
      </xsd:simpleType>
    </xsd:element>
    <xsd:element name="dc12c0fcbaa8400483ae8258ed61b8c8" ma:index="44" nillable="true" ma:taxonomy="true" ma:internalName="dc12c0fcbaa8400483ae8258ed61b8c8" ma:taxonomyFieldName="EYCommunitySpecificTerms" ma:displayName="Community Specific Terms" ma:fieldId="{dc12c0fc-baa8-4004-83ae-8258ed61b8c8}" ma:taxonomyMulti="true" ma:sspId="9cc9f4e4-efc4-4954-9a3a-92fa8d4fa5d0" ma:termSetId="279c7b15-ecb7-44cd-a7ab-eeea417286fd" ma:anchorId="00000000-0000-0000-0000-000000000000" ma:open="fals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585fc143-f117-4e5a-820b-3ccdc931e660" elementFormDefault="qualified">
    <xsd:import namespace="http://schemas.microsoft.com/office/2006/documentManagement/types"/>
    <xsd:import namespace="http://schemas.microsoft.com/office/infopath/2007/PartnerControls"/>
    <xsd:element name="ExternalSource" ma:index="20" nillable="true" ma:displayName="External Source" ma:description="Identify the organization(s) that produced this file (if applicable); e.g., “Gartner Inc.,”  “Greenpeace”. Separate multiple values with a semi-colon (;)" ma:internalName="ExternalSource">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3f12cc7f-0bc4-4a05-82ca-c9d667662d02" elementFormDefault="qualified">
    <xsd:import namespace="http://schemas.microsoft.com/office/2006/documentManagement/types"/>
    <xsd:import namespace="http://schemas.microsoft.com/office/infopath/2007/PartnerControls"/>
    <xsd:element name="CMS_ContentStatus" ma:index="47" nillable="true" ma:displayName="Content Status" ma:default="New" ma:format="Dropdown" ma:internalName="CMS_ContentStatus">
      <xsd:simpleType>
        <xsd:restriction base="dms:Choice">
          <xsd:enumeration value="New"/>
          <xsd:enumeration value="Ready For Sanitizer"/>
          <xsd:enumeration value="Ready For QA"/>
          <xsd:enumeration value="Ready For BA"/>
          <xsd:enumeration value="Ready For Production"/>
          <xsd:enumeration value="In QA"/>
          <xsd:enumeration value="In Sanitization"/>
          <xsd:enumeration value="In BA"/>
          <xsd:enumeration value="In Production"/>
          <xsd:enumeration value="Complete QA"/>
          <xsd:enumeration value="Complete Sanitization"/>
          <xsd:enumeration value="Complete BA"/>
          <xsd:enumeration value="Complete Production"/>
          <xsd:enumeration value="Rejected"/>
          <xsd:enumeration value="Archived"/>
        </xsd:restriction>
      </xsd:simpleType>
    </xsd:element>
    <xsd:element name="CMS_OtherClientName" ma:index="50" nillable="true" ma:displayName="Other client" ma:description="Client name if not G360" ma:internalName="CMS_OtherClientName">
      <xsd:simpleType>
        <xsd:restriction base="dms:Text">
          <xsd:maxLength value="255"/>
        </xsd:restriction>
      </xsd:simpleType>
    </xsd:element>
    <xsd:element name="CMS_EstCompletionDate" ma:index="55" nillable="true" ma:displayName="Estimated Completion Date" ma:format="DateOnly" ma:hidden="true" ma:internalName="CMS_EstCompletionDate" ma:readOnly="false">
      <xsd:simpleType>
        <xsd:restriction base="dms:DateTime"/>
      </xsd:simpleType>
    </xsd:element>
  </xsd:schema>
  <xsd:schema xmlns:xsd="http://www.w3.org/2001/XMLSchema" xmlns:xs="http://www.w3.org/2001/XMLSchema" xmlns:dms="http://schemas.microsoft.com/office/2006/documentManagement/types" xmlns:pc="http://schemas.microsoft.com/office/infopath/2007/PartnerControls" targetNamespace="47e0d157-5edd-4516-8980-cd293346d4df" elementFormDefault="qualified">
    <xsd:import namespace="http://schemas.microsoft.com/office/2006/documentManagement/types"/>
    <xsd:import namespace="http://schemas.microsoft.com/office/infopath/2007/PartnerControls"/>
    <xsd:element name="CMS_G360AcctTaxHTField0" ma:index="48" nillable="true" ma:taxonomy="true" ma:internalName="CMS_G360Acct_0" ma:taxonomyFieldName="CMS_G360Acct" ma:displayName="G360 Account" ma:indexed="true" ma:readOnly="false" ma:fieldId="{e2b441ac-5e30-4519-a5d9-50f509473df7}" ma:sspId="9cc9f4e4-efc4-4954-9a3a-92fa8d4fa5d0" ma:termSetId="e0b750fc-8b9d-4420-9735-6c752e491e80" ma:anchorId="00000000-0000-0000-0000-000000000000" ma:open="false" ma:isKeyword="false">
      <xsd:complexType>
        <xsd:sequence>
          <xsd:element ref="pc:Terms" minOccurs="0" maxOccurs="1"/>
        </xsd:sequence>
      </xsd:complexType>
    </xsd:element>
    <xsd:element name="EYSubmittedBy" ma:index="53" nillable="true" ma:displayName="Submitted By" ma:hidden="true" ma:list="UserInfo" ma:SharePointGroup="0" ma:internalName="EYSubmittedBy"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n1dab9d6d8664732849b7aaffb48fb18" ma:index="58" nillable="true" ma:taxonomy="true" ma:internalName="n1dab9d6d8664732849b7aaffb48fb18" ma:taxonomyFieldName="MethodName" ma:displayName="Method Name" ma:fieldId="{71dab9d6-d866-4732-849b-7aaffb48fb18}" ma:taxonomyMulti="true" ma:sspId="9cc9f4e4-efc4-4954-9a3a-92fa8d4fa5d0" ma:termSetId="ff854fd0-0285-4ae1-98db-1727847a79ad" ma:anchorId="00000000-0000-0000-0000-000000000000" ma:open="false" ma:isKeyword="false">
      <xsd:complexType>
        <xsd:sequence>
          <xsd:element ref="pc:Terms" minOccurs="0" maxOccurs="1"/>
        </xsd:sequence>
      </xsd:complexType>
    </xsd:element>
    <xsd:element name="jb27e7913892463ea3962391e5e5bf6b" ma:index="60" nillable="true" ma:taxonomy="true" ma:internalName="jb27e7913892463ea3962391e5e5bf6b" ma:taxonomyFieldName="MethodWorkProduct" ma:displayName="Method Work Product" ma:fieldId="{3b27e791-3892-463e-a396-2391e5e5bf6b}" ma:taxonomyMulti="true" ma:sspId="9cc9f4e4-efc4-4954-9a3a-92fa8d4fa5d0" ma:termSetId="5045ebf6-bf91-4ba5-9f35-a166421a658c" ma:anchorId="00000000-0000-0000-0000-000000000000" ma:open="false" ma:isKeyword="false">
      <xsd:complexType>
        <xsd:sequence>
          <xsd:element ref="pc:Terms" minOccurs="0" maxOccurs="1"/>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B821D8AC-3306-4B34-83DE-77D939C19D1B}">
  <ds:schemaRefs>
    <ds:schemaRef ds:uri="http://purl.org/dc/terms/"/>
    <ds:schemaRef ds:uri="http://schemas.microsoft.com/office/2006/documentManagement/types"/>
    <ds:schemaRef ds:uri="http://schemas.microsoft.com/office/2006/metadata/properties"/>
    <ds:schemaRef ds:uri="http://schemas.microsoft.com/office/infopath/2007/PartnerControls"/>
    <ds:schemaRef ds:uri="http://schemas.openxmlformats.org/package/2006/metadata/core-properties"/>
    <ds:schemaRef ds:uri="http://purl.org/dc/elements/1.1/"/>
    <ds:schemaRef ds:uri="3f12cc7f-0bc4-4a05-82ca-c9d667662d02"/>
    <ds:schemaRef ds:uri="47e0d157-5edd-4516-8980-cd293346d4df"/>
    <ds:schemaRef ds:uri="35818088-e62d-4edf-bbb6-409430aef268"/>
    <ds:schemaRef ds:uri="585fc143-f117-4e5a-820b-3ccdc931e660"/>
    <ds:schemaRef ds:uri="http://schemas.microsoft.com/sharepoint/v3"/>
    <ds:schemaRef ds:uri="http://www.w3.org/XML/1998/namespace"/>
    <ds:schemaRef ds:uri="http://purl.org/dc/dcmitype/"/>
  </ds:schemaRefs>
</ds:datastoreItem>
</file>

<file path=customXml/itemProps2.xml><?xml version="1.0" encoding="utf-8"?>
<ds:datastoreItem xmlns:ds="http://schemas.openxmlformats.org/officeDocument/2006/customXml" ds:itemID="{8CC324C2-9EF0-466E-BBF1-E1D252B86C7A}">
  <ds:schemaRefs>
    <ds:schemaRef ds:uri="Microsoft.SharePoint.Taxonomy.ContentTypeSync"/>
  </ds:schemaRefs>
</ds:datastoreItem>
</file>

<file path=customXml/itemProps3.xml><?xml version="1.0" encoding="utf-8"?>
<ds:datastoreItem xmlns:ds="http://schemas.openxmlformats.org/officeDocument/2006/customXml" ds:itemID="{5180DB38-E528-435B-8D97-6B105EA033A8}">
  <ds:schemaRefs>
    <ds:schemaRef ds:uri="http://schemas.microsoft.com/sharepoint/v3/contenttype/forms"/>
  </ds:schemaRefs>
</ds:datastoreItem>
</file>

<file path=customXml/itemProps4.xml><?xml version="1.0" encoding="utf-8"?>
<ds:datastoreItem xmlns:ds="http://schemas.openxmlformats.org/officeDocument/2006/customXml" ds:itemID="{C7D0AACF-2403-46DF-8B89-71951595706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35818088-e62d-4edf-bbb6-409430aef268"/>
    <ds:schemaRef ds:uri="585fc143-f117-4e5a-820b-3ccdc931e660"/>
    <ds:schemaRef ds:uri="3f12cc7f-0bc4-4a05-82ca-c9d667662d02"/>
    <ds:schemaRef ds:uri="47e0d157-5edd-4516-8980-cd293346d4d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vt:i4>
      </vt:variant>
      <vt:variant>
        <vt:lpstr>Named Ranges</vt:lpstr>
      </vt:variant>
      <vt:variant>
        <vt:i4>98</vt:i4>
      </vt:variant>
    </vt:vector>
  </HeadingPairs>
  <TitlesOfParts>
    <vt:vector size="99" baseType="lpstr">
      <vt:lpstr>Tests of control</vt:lpstr>
      <vt:lpstr>'Tests of control'!AHome</vt:lpstr>
      <vt:lpstr>'Tests of control'!Compensation_Value</vt:lpstr>
      <vt:lpstr>'Tests of control'!Compensation_Yes</vt:lpstr>
      <vt:lpstr>'Tests of control'!ConcExceptions_Value</vt:lpstr>
      <vt:lpstr>'Tests of control'!ConclusionBased_No</vt:lpstr>
      <vt:lpstr>'Tests of control'!ConclusionBased_Value</vt:lpstr>
      <vt:lpstr>'Tests of control'!Configurable_Controls</vt:lpstr>
      <vt:lpstr>'Tests of control'!Configurable_Value</vt:lpstr>
      <vt:lpstr>'Tests of control'!Control_Exec</vt:lpstr>
      <vt:lpstr>'Tests of control'!ControlDescription</vt:lpstr>
      <vt:lpstr>'Tests of control'!ControlFrequency</vt:lpstr>
      <vt:lpstr>'Tests of control'!ControlName</vt:lpstr>
      <vt:lpstr>'Tests of control'!ControlType</vt:lpstr>
      <vt:lpstr>'Tests of control'!CT_App1</vt:lpstr>
      <vt:lpstr>'Tests of control'!CT_App2</vt:lpstr>
      <vt:lpstr>'Tests of control'!CT_App3</vt:lpstr>
      <vt:lpstr>'Tests of control'!CT_Application</vt:lpstr>
      <vt:lpstr>CT_ITDM</vt:lpstr>
      <vt:lpstr>'Tests of control'!CT_NotApplication</vt:lpstr>
      <vt:lpstr>'Tests of control'!CurrentLanguage</vt:lpstr>
      <vt:lpstr>'Tests of control'!CurrentLanguageDD</vt:lpstr>
      <vt:lpstr>dd_ControlType</vt:lpstr>
      <vt:lpstr>dd_Effective</vt:lpstr>
      <vt:lpstr>dd_Environ</vt:lpstr>
      <vt:lpstr>dd_Frequency</vt:lpstr>
      <vt:lpstr>dd_GAAS</vt:lpstr>
      <vt:lpstr>dd_InterimYearEnd</vt:lpstr>
      <vt:lpstr>dd_Language</vt:lpstr>
      <vt:lpstr>dd_NatureEngage</vt:lpstr>
      <vt:lpstr>dd_YesNo</vt:lpstr>
      <vt:lpstr>'Tests of control'!DesignAttrib</vt:lpstr>
      <vt:lpstr>'Tests of control'!DesignAttribEY</vt:lpstr>
      <vt:lpstr>'Tests of control'!EntityName</vt:lpstr>
      <vt:lpstr>'Tests of control'!Evidence_No</vt:lpstr>
      <vt:lpstr>'Tests of control'!Evidence_Value</vt:lpstr>
      <vt:lpstr>'Tests of control'!Evidence_Yes</vt:lpstr>
      <vt:lpstr>'Tests of control'!Exceptions3</vt:lpstr>
      <vt:lpstr>'Tests of control'!Exceptions4</vt:lpstr>
      <vt:lpstr>'Tests of control'!FinalTOC</vt:lpstr>
      <vt:lpstr>'Tests of control'!ForIntegratedOnly</vt:lpstr>
      <vt:lpstr>'Tests of control'!HigherRisk</vt:lpstr>
      <vt:lpstr>'Tests of control'!IAFunction</vt:lpstr>
      <vt:lpstr>'Tests of control'!IncludeSOCDNo</vt:lpstr>
      <vt:lpstr>'Tests of control'!IncludeSOCDValue</vt:lpstr>
      <vt:lpstr>'Tests of control'!Independant_Strategy</vt:lpstr>
      <vt:lpstr>'Tests of control'!IndependentStrategy</vt:lpstr>
      <vt:lpstr>'Tests of control'!InquiryPerf</vt:lpstr>
      <vt:lpstr>'Tests of control'!Inspect</vt:lpstr>
      <vt:lpstr>'Tests of control'!InspectAuth</vt:lpstr>
      <vt:lpstr>'Tests of control'!InspectConfig</vt:lpstr>
      <vt:lpstr>'Tests of control'!Instance_Value</vt:lpstr>
      <vt:lpstr>'Tests of control'!Interim2</vt:lpstr>
      <vt:lpstr>'Tests of control'!InterimWPRef</vt:lpstr>
      <vt:lpstr>'Tests of control'!InternalAuditNo</vt:lpstr>
      <vt:lpstr>'Tests of control'!InternalAuditValue</vt:lpstr>
      <vt:lpstr>'Tests of control'!MultiNo</vt:lpstr>
      <vt:lpstr>'Tests of control'!MultiTestPerf</vt:lpstr>
      <vt:lpstr>'Tests of control'!MultiYes</vt:lpstr>
      <vt:lpstr>'Tests of control'!NatureOfEngagement</vt:lpstr>
      <vt:lpstr>'Tests of control'!Not_AppControl</vt:lpstr>
      <vt:lpstr>'Tests of control'!Observe</vt:lpstr>
      <vt:lpstr>'Tests of control'!OperatingEffective</vt:lpstr>
      <vt:lpstr>'Tests of control'!OperatingEffectiveTOC</vt:lpstr>
      <vt:lpstr>'Tests of control'!OperEffecFinal</vt:lpstr>
      <vt:lpstr>'Tests of control'!Override_Blank</vt:lpstr>
      <vt:lpstr>'Tests of control'!Override_Main</vt:lpstr>
      <vt:lpstr>'Tests of control'!Override_Value</vt:lpstr>
      <vt:lpstr>'Tests of control'!Override_Yes</vt:lpstr>
      <vt:lpstr>'Tests of control'!OverrideSection</vt:lpstr>
      <vt:lpstr>'Tests of control'!PeriodDate</vt:lpstr>
      <vt:lpstr>'Tests of control'!Print_Area</vt:lpstr>
      <vt:lpstr>'Tests of control'!PriorLanguage</vt:lpstr>
      <vt:lpstr>'Tests of control'!RefDocument</vt:lpstr>
      <vt:lpstr>'Tests of control'!RelatedApps</vt:lpstr>
      <vt:lpstr>'Tests of control'!reperform</vt:lpstr>
      <vt:lpstr>'Tests of control'!Reperformance_Review</vt:lpstr>
      <vt:lpstr>'Tests of control'!Reperformance_Testing</vt:lpstr>
      <vt:lpstr>'Tests of control'!Reperformance_Value</vt:lpstr>
      <vt:lpstr>'Tests of control'!ReperformControl</vt:lpstr>
      <vt:lpstr>'Tests of control'!ReperformFirstDesignRow</vt:lpstr>
      <vt:lpstr>'Tests of control'!ReperformFirstRow</vt:lpstr>
      <vt:lpstr>'Tests of control'!ReperformLastDesignRow</vt:lpstr>
      <vt:lpstr>'Tests of control'!ReperformLastRow</vt:lpstr>
      <vt:lpstr>'Tests of control'!ReperformStartCol</vt:lpstr>
      <vt:lpstr>'Tests of control'!ReviewControl</vt:lpstr>
      <vt:lpstr>'Tests of control'!ReviewT_Value</vt:lpstr>
      <vt:lpstr>'Tests of control'!SCOTName</vt:lpstr>
      <vt:lpstr>'Tests of control'!Start</vt:lpstr>
      <vt:lpstr>'Tests of control'!TestingEnviron</vt:lpstr>
      <vt:lpstr>'Tests of control'!TestingFirstDesignRow</vt:lpstr>
      <vt:lpstr>'Tests of control'!TestingFirstRow</vt:lpstr>
      <vt:lpstr>'Tests of control'!TestingLastDesignRow</vt:lpstr>
      <vt:lpstr>'Tests of control'!TestingLastRow</vt:lpstr>
      <vt:lpstr>'Tests of control'!TestingStartCol</vt:lpstr>
      <vt:lpstr>'Tests of control'!ThisRef</vt:lpstr>
      <vt:lpstr>'Tests of control'!US_GAAS</vt:lpstr>
      <vt:lpstr>'Tests of control'!USGAASValue</vt:lpstr>
      <vt:lpstr>'Tests of control'!WPRefFromSCOT</vt:lpstr>
    </vt:vector>
  </TitlesOfParts>
  <Company>Ernst &amp; Young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Marc Bonnie Wong</dc:creator>
  <cp:lastModifiedBy>centejo1</cp:lastModifiedBy>
  <cp:lastPrinted>2019-02-12T20:17:42Z</cp:lastPrinted>
  <dcterms:created xsi:type="dcterms:W3CDTF">2015-01-25T22:44:40Z</dcterms:created>
  <dcterms:modified xsi:type="dcterms:W3CDTF">2019-02-12T20:17:54Z</dcterms:modified>
  <cp:version>v1.21</cp:version>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0x010100826318CDA76982469C2C3CD2CD5847410200FE50EC723BBB4EE093E11CAD7ADFFF7A000040E8C38871462A86BBC6C3AF09C974000562FD3363F89B4DB54DF80271368564</vt:lpwstr>
  </property>
  <property fmtid="{D5CDD505-2E9C-101B-9397-08002B2CF9AE}" pid="3" name="ServiceLineFunction">
    <vt:lpwstr>28;#Assurance|76b54a0b-7f4f-49fd-b06a-9c34f75cde61</vt:lpwstr>
  </property>
  <property fmtid="{D5CDD505-2E9C-101B-9397-08002B2CF9AE}" pid="4" name="_dlc_policyId">
    <vt:lpwstr>/Lists/ContentRequests/Submission</vt:lpwstr>
  </property>
  <property fmtid="{D5CDD505-2E9C-101B-9397-08002B2CF9AE}" pid="5" name="ItemRetentionFormula">
    <vt:lpwstr>&lt;formula id="Microsoft.Office.RecordsManagement.PolicyFeatures.Expiration.Formula.BuiltIn"&gt;&lt;number&gt;30&lt;/number&gt;&lt;property&gt;Created&lt;/property&gt;&lt;propertyId&gt;8c06beca-0777-48f7-91c7-6da68bc07b69&lt;/propertyId&gt;&lt;period&gt;days&lt;/period&gt;&lt;/formula&gt;</vt:lpwstr>
  </property>
  <property fmtid="{D5CDD505-2E9C-101B-9397-08002B2CF9AE}" pid="6" name="TaxKeyword">
    <vt:lpwstr/>
  </property>
  <property fmtid="{D5CDD505-2E9C-101B-9397-08002B2CF9AE}" pid="7" name="EYCommunitySpecificTerms">
    <vt:lpwstr/>
  </property>
  <property fmtid="{D5CDD505-2E9C-101B-9397-08002B2CF9AE}" pid="8" name="EYMarketSegment">
    <vt:lpwstr/>
  </property>
  <property fmtid="{D5CDD505-2E9C-101B-9397-08002B2CF9AE}" pid="9" name="EYTargetAudience">
    <vt:lpwstr/>
  </property>
  <property fmtid="{D5CDD505-2E9C-101B-9397-08002B2CF9AE}" pid="10" name="EYIssues">
    <vt:lpwstr/>
  </property>
  <property fmtid="{D5CDD505-2E9C-101B-9397-08002B2CF9AE}" pid="11" name="MethodName">
    <vt:lpwstr/>
  </property>
  <property fmtid="{D5CDD505-2E9C-101B-9397-08002B2CF9AE}" pid="12" name="ContentLanguage">
    <vt:lpwstr/>
  </property>
  <property fmtid="{D5CDD505-2E9C-101B-9397-08002B2CF9AE}" pid="13" name="EYEndorsement">
    <vt:lpwstr/>
  </property>
  <property fmtid="{D5CDD505-2E9C-101B-9397-08002B2CF9AE}" pid="14" name="MethodWorkProduct">
    <vt:lpwstr/>
  </property>
  <property fmtid="{D5CDD505-2E9C-101B-9397-08002B2CF9AE}" pid="15" name="GeographicApplicability">
    <vt:lpwstr>41;#Global|500f1427-2ec5-408e-9c7e-c7ecab3f14e9</vt:lpwstr>
  </property>
  <property fmtid="{D5CDD505-2E9C-101B-9397-08002B2CF9AE}" pid="16" name="Sector">
    <vt:lpwstr/>
  </property>
  <property fmtid="{D5CDD505-2E9C-101B-9397-08002B2CF9AE}" pid="17" name="_docset_NoMedatataSyncRequired">
    <vt:lpwstr>False</vt:lpwstr>
  </property>
</Properties>
</file>